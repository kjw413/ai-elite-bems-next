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-Elite-BEMS-next\imports\savings\"/>
    </mc:Choice>
  </mc:AlternateContent>
  <xr:revisionPtr revIDLastSave="0" documentId="13_ncr:1_{B88F2FE0-F7EC-4958-A577-EDDB750D8C81}" xr6:coauthVersionLast="47" xr6:coauthVersionMax="47" xr10:uidLastSave="{00000000-0000-0000-0000-000000000000}"/>
  <bookViews>
    <workbookView xWindow="-120" yWindow="-120" windowWidth="29040" windowHeight="15720" activeTab="4" xr2:uid="{DFC32FD8-FF38-4B02-9B27-48DD79ADD29D}"/>
  </bookViews>
  <sheets>
    <sheet name="남양주" sheetId="1" r:id="rId1"/>
    <sheet name="김해" sheetId="2" r:id="rId2"/>
    <sheet name="광주" sheetId="3" r:id="rId3"/>
    <sheet name="논산" sheetId="4" r:id="rId4"/>
    <sheet name="경산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4" l="1"/>
  <c r="E9" i="4"/>
  <c r="F8" i="4"/>
  <c r="E8" i="4"/>
  <c r="F7" i="4"/>
  <c r="E7" i="4"/>
  <c r="F6" i="4"/>
  <c r="E6" i="4"/>
  <c r="F5" i="4"/>
  <c r="E5" i="4"/>
  <c r="F4" i="4"/>
  <c r="E4" i="4"/>
  <c r="F3" i="4"/>
  <c r="E3" i="4"/>
  <c r="F2" i="4"/>
  <c r="E2" i="4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  <c r="F7" i="2"/>
  <c r="E7" i="2"/>
  <c r="F6" i="2"/>
  <c r="E6" i="2"/>
  <c r="F5" i="2"/>
  <c r="E5" i="2"/>
  <c r="F4" i="2"/>
  <c r="E4" i="2"/>
  <c r="F3" i="2"/>
  <c r="E3" i="2"/>
  <c r="F2" i="2"/>
  <c r="E2" i="2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F2" i="1" l="1"/>
  <c r="E2" i="1"/>
</calcChain>
</file>

<file path=xl/sharedStrings.xml><?xml version="1.0" encoding="utf-8"?>
<sst xmlns="http://schemas.openxmlformats.org/spreadsheetml/2006/main" count="333" uniqueCount="101">
  <si>
    <t>테마명</t>
    <phoneticPr fontId="1" type="noConversion"/>
  </si>
  <si>
    <t>절감유형</t>
    <phoneticPr fontId="1" type="noConversion"/>
  </si>
  <si>
    <t>에너지원</t>
    <phoneticPr fontId="1" type="noConversion"/>
  </si>
  <si>
    <t>1월(계획)</t>
    <phoneticPr fontId="1" type="noConversion"/>
  </si>
  <si>
    <t>1월(실적)</t>
    <phoneticPr fontId="1" type="noConversion"/>
  </si>
  <si>
    <t>2월(계획)</t>
    <phoneticPr fontId="1" type="noConversion"/>
  </si>
  <si>
    <t>2월(실적)</t>
    <phoneticPr fontId="1" type="noConversion"/>
  </si>
  <si>
    <t>3월(계획)</t>
    <phoneticPr fontId="1" type="noConversion"/>
  </si>
  <si>
    <t>3월(실적)</t>
    <phoneticPr fontId="1" type="noConversion"/>
  </si>
  <si>
    <t>4월(계획)</t>
    <phoneticPr fontId="1" type="noConversion"/>
  </si>
  <si>
    <t>4월(실적)</t>
    <phoneticPr fontId="1" type="noConversion"/>
  </si>
  <si>
    <t>5월(계획)</t>
    <phoneticPr fontId="1" type="noConversion"/>
  </si>
  <si>
    <t>5월(실적)</t>
    <phoneticPr fontId="1" type="noConversion"/>
  </si>
  <si>
    <t>6월(계획)</t>
    <phoneticPr fontId="1" type="noConversion"/>
  </si>
  <si>
    <t>6월(실적)</t>
    <phoneticPr fontId="1" type="noConversion"/>
  </si>
  <si>
    <t>7월(계획)</t>
    <phoneticPr fontId="1" type="noConversion"/>
  </si>
  <si>
    <t>7월(실적)</t>
    <phoneticPr fontId="1" type="noConversion"/>
  </si>
  <si>
    <t>8월(계획)</t>
    <phoneticPr fontId="1" type="noConversion"/>
  </si>
  <si>
    <t>8월(실적)</t>
    <phoneticPr fontId="1" type="noConversion"/>
  </si>
  <si>
    <t>9월(계획)</t>
    <phoneticPr fontId="1" type="noConversion"/>
  </si>
  <si>
    <t>9월(실적)</t>
    <phoneticPr fontId="1" type="noConversion"/>
  </si>
  <si>
    <t>10월(계획)</t>
    <phoneticPr fontId="1" type="noConversion"/>
  </si>
  <si>
    <t>10월(실적)</t>
    <phoneticPr fontId="1" type="noConversion"/>
  </si>
  <si>
    <t>11월(계획)</t>
    <phoneticPr fontId="1" type="noConversion"/>
  </si>
  <si>
    <t>11월(실적)</t>
    <phoneticPr fontId="1" type="noConversion"/>
  </si>
  <si>
    <t>12월(계획)</t>
    <phoneticPr fontId="1" type="noConversion"/>
  </si>
  <si>
    <t>12월(실적)</t>
    <phoneticPr fontId="1" type="noConversion"/>
  </si>
  <si>
    <t>No.</t>
    <phoneticPr fontId="1" type="noConversion"/>
  </si>
  <si>
    <t>전력</t>
  </si>
  <si>
    <t>설비교체</t>
  </si>
  <si>
    <t>1P 관류보일러 스팀헤더 폐열 회수</t>
  </si>
  <si>
    <t>1P 배기FAN 통합 모니터링 관리</t>
  </si>
  <si>
    <t>남양주공장 하절기 전력 피크 개선</t>
  </si>
  <si>
    <t>남양주공장 전력 역률 개선</t>
  </si>
  <si>
    <t>남양주공장 노후 조명 LED 교체</t>
  </si>
  <si>
    <t>3P 200HP 고효율 공압기 설치</t>
  </si>
  <si>
    <t>3P 노후 변압기 교체</t>
  </si>
  <si>
    <t>2,3P 에어 누출 최소화</t>
  </si>
  <si>
    <t>3P 냉동창고 온도관리</t>
  </si>
  <si>
    <t xml:space="preserve">3P PI QFT 2품목 생산으로 운영방안 개선 </t>
  </si>
  <si>
    <t>2P 주말 Cone QFT 제상시간 효율화</t>
  </si>
  <si>
    <t xml:space="preserve">3P 주말 PI QFT 제상시간 효율화 </t>
  </si>
  <si>
    <t>3P 암모니아 냉동기 교체</t>
  </si>
  <si>
    <t>설비 에어라인 동작 개선</t>
  </si>
  <si>
    <t>운전개선</t>
  </si>
  <si>
    <t>누설저감</t>
  </si>
  <si>
    <t>기타</t>
  </si>
  <si>
    <t>1P CIP실 스팀 공급 압력 감압</t>
  </si>
  <si>
    <t>1P 살균기 스팀 공급 압력 감압</t>
  </si>
  <si>
    <t>3P 고효율 냉온수기 설치</t>
  </si>
  <si>
    <t>3P 공압기 폐열 회수</t>
  </si>
  <si>
    <t>2P 배칭수 PHE 스팀 공급 압력 감압</t>
  </si>
  <si>
    <t>3P PI CIP실 스팀시스템 개선</t>
  </si>
  <si>
    <t>남양주공장 스팀 배관 보온</t>
  </si>
  <si>
    <t>남양주공장 노후 스팀 트랩 교체</t>
  </si>
  <si>
    <t>남양주공장 스팀 리크부 유지보수</t>
  </si>
  <si>
    <t>3P 관류보일러 설치</t>
  </si>
  <si>
    <t>2P 복지관 온수 환수배관 설치</t>
  </si>
  <si>
    <t>연료</t>
  </si>
  <si>
    <t>공정개선</t>
  </si>
  <si>
    <t>고효율 공압기 우선가동 실시</t>
  </si>
  <si>
    <t>공압기 에어리크부위 발췌 및 지속 개선</t>
  </si>
  <si>
    <t>태양광 패널 및 발전설비 설치</t>
  </si>
  <si>
    <t>바이오플레 CIP 공급펌프 2대에 대한 인버터 설치</t>
  </si>
  <si>
    <t>스팀 및 응축수 미보온부위 보온</t>
  </si>
  <si>
    <t xml:space="preserve">유틸리티 주단위 운전스케줄 조정 </t>
  </si>
  <si>
    <t>하절기 제1창고 휴일 냉동기 OFF</t>
  </si>
  <si>
    <t>에바콘 #2 압력 콘트롤 조정(12.5bar →12.6bar)</t>
  </si>
  <si>
    <t>냉동기/공압기 단속운전</t>
  </si>
  <si>
    <t>유 공압기 C/T 냉각수 온도 조정(30 -4℃ 운전, 29 ±1.5℃)</t>
  </si>
  <si>
    <t>닥터캡슐 공조기#2 온습도 개선(온도 19℃→23℃, 습도 65%→75%)</t>
  </si>
  <si>
    <t>성형반 air 배관 개선 설치(천정 →실내)</t>
  </si>
  <si>
    <t xml:space="preserve">유 칠러 냉동기 #3 over-haul </t>
  </si>
  <si>
    <t>유 칠러 냉동기 #1 교체</t>
  </si>
  <si>
    <t>성형반 신규성형기 냉각수 배관 개선(고압호스→플랙시블관(sus))</t>
  </si>
  <si>
    <t>I/B #2 교반용 냉수 순환펌프 배관 보온</t>
  </si>
  <si>
    <t>전력피크 관리</t>
  </si>
  <si>
    <t>전력</t>
    <phoneticPr fontId="1" type="noConversion"/>
  </si>
  <si>
    <t>기타</t>
    <phoneticPr fontId="1" type="noConversion"/>
  </si>
  <si>
    <t>보일러 단속운전</t>
  </si>
  <si>
    <t>보일러 화학세관</t>
  </si>
  <si>
    <t>공장내 steam trap 개선(오리피스, FLOAT, 디스크 type → steam keeper로 교체로 고장률 및 leak 개선)</t>
  </si>
  <si>
    <t>steam/응축수 나관 배관 보온</t>
  </si>
  <si>
    <t>스낵 난방용 감압변 설치 (난방용 header 전)</t>
  </si>
  <si>
    <t>스낵 공조기실 스팀헷더  APT-10 응축수 회수펌프개선</t>
  </si>
  <si>
    <t>스낵 포장실 버켓 세척용 가열 tank 가열방식 개선</t>
  </si>
  <si>
    <t>스낵 스팀믹서 #2 감압 BY-PASS steam 드레인 trap 개선(디스크 →오리피스)</t>
  </si>
  <si>
    <t>스낵 스팀믹서 steam header steam trap 개선(디스크 → 오리피스)</t>
  </si>
  <si>
    <t>성형반 바나나 성형기 fan coil unit 설치</t>
  </si>
  <si>
    <t xml:space="preserve">유가공 2층 (구) 원자재 사무실 steam, 응축수 배관 철거 </t>
  </si>
  <si>
    <t>연료</t>
    <phoneticPr fontId="1" type="noConversion"/>
  </si>
  <si>
    <t>연간(계획)</t>
    <phoneticPr fontId="1" type="noConversion"/>
  </si>
  <si>
    <t>연간(실적)</t>
    <phoneticPr fontId="1" type="noConversion"/>
  </si>
  <si>
    <t xml:space="preserve"> IC 생산설비별 공압 중간밸브 설치</t>
  </si>
  <si>
    <t xml:space="preserve"> 냉동/냉장 창고 고효율 인버터 설치</t>
  </si>
  <si>
    <t xml:space="preserve"> I/C 컨베이어(55대) 통합제어</t>
  </si>
  <si>
    <t xml:space="preserve"> 태양광 발전_200kva</t>
  </si>
  <si>
    <t xml:space="preserve"> QFT 유닛쿨러 절감(계획량 변경)</t>
  </si>
  <si>
    <t xml:space="preserve"> LED 포충등 절감</t>
  </si>
  <si>
    <t xml:space="preserve"> 태양광 발전_30kva(예정</t>
  </si>
  <si>
    <t>Air-comp#3 폐열회수장치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</si>
</sst>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2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48BC-4375-4936-A0B3-32F89BC381D0}">
  <dimension ref="A1:AD26"/>
  <sheetViews>
    <sheetView zoomScale="85" zoomScaleNormal="85" workbookViewId="0">
      <selection activeCell="B1" sqref="B1:B1048576"/>
    </sheetView>
  </sheetViews>
  <sheetFormatPr defaultRowHeight="16.5" x14ac:dyDescent="0.3"/>
  <cols>
    <col min="2" max="2" width="30.625" customWidth="1"/>
  </cols>
  <sheetData>
    <row r="1" spans="1:30" x14ac:dyDescent="0.3">
      <c r="A1" s="3" t="s">
        <v>27</v>
      </c>
      <c r="B1" s="3" t="s">
        <v>0</v>
      </c>
      <c r="C1" s="3" t="s">
        <v>2</v>
      </c>
      <c r="D1" s="3" t="s">
        <v>1</v>
      </c>
      <c r="E1" s="3" t="s">
        <v>91</v>
      </c>
      <c r="F1" s="3" t="s">
        <v>92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</row>
    <row r="2" spans="1:30" x14ac:dyDescent="0.3">
      <c r="B2" t="s">
        <v>31</v>
      </c>
      <c r="C2" t="s">
        <v>28</v>
      </c>
      <c r="D2" t="s">
        <v>29</v>
      </c>
      <c r="E2" s="1">
        <f>G2+I2+K2+M2+O2+Q2+S2+U2+W2+Y2+AA2+AC2</f>
        <v>15100.800166407289</v>
      </c>
      <c r="F2" s="1">
        <f>H2+J2+L2+N2+P2+R2+T2+V2+X2+Z2+AB2+AD2</f>
        <v>7482.8067280509858</v>
      </c>
      <c r="G2">
        <v>1872.7173603800015</v>
      </c>
      <c r="H2">
        <v>1858.7625178520564</v>
      </c>
      <c r="I2">
        <v>915.28548497493023</v>
      </c>
      <c r="J2">
        <v>926.71508558562789</v>
      </c>
      <c r="K2">
        <v>1368.7126025499454</v>
      </c>
      <c r="L2">
        <v>1346.2847161421885</v>
      </c>
      <c r="M2">
        <v>1086.8105863219291</v>
      </c>
      <c r="N2">
        <v>1081.1446887190245</v>
      </c>
      <c r="O2">
        <v>1096.4350680666394</v>
      </c>
      <c r="P2">
        <v>1077.0277729137508</v>
      </c>
      <c r="Q2">
        <v>1193.4617738892809</v>
      </c>
      <c r="R2">
        <v>1192.8719468383388</v>
      </c>
      <c r="S2">
        <v>950.40232816316973</v>
      </c>
      <c r="U2">
        <v>1202.4795846345198</v>
      </c>
      <c r="W2">
        <v>1114.1736378132616</v>
      </c>
      <c r="Y2">
        <v>2203.4108575735117</v>
      </c>
      <c r="AA2">
        <v>1166.5290794712998</v>
      </c>
      <c r="AC2">
        <v>930.38180256880025</v>
      </c>
    </row>
    <row r="3" spans="1:30" x14ac:dyDescent="0.3">
      <c r="B3" t="s">
        <v>32</v>
      </c>
      <c r="C3" t="s">
        <v>28</v>
      </c>
      <c r="D3" t="s">
        <v>44</v>
      </c>
      <c r="E3" s="1">
        <f t="shared" ref="E3:E14" si="0">G3+I3+K3+M3+O3+Q3+S3+U3+W3+Y3+AA3+AC3</f>
        <v>17435.629800767016</v>
      </c>
      <c r="F3" s="1">
        <f t="shared" ref="F3:F14" si="1">H3+J3+L3+N3+P3+R3+T3+V3+X3+Z3+AB3+AD3</f>
        <v>17330.703191382712</v>
      </c>
      <c r="G3">
        <v>2683.1549545628436</v>
      </c>
      <c r="H3">
        <v>2664.2262755879474</v>
      </c>
      <c r="I3">
        <v>2622.7692825484473</v>
      </c>
      <c r="J3">
        <v>2656.5832453454664</v>
      </c>
      <c r="K3">
        <v>3137.6591715126028</v>
      </c>
      <c r="L3">
        <v>3087.4796156860857</v>
      </c>
      <c r="M3">
        <v>3114.2779696016892</v>
      </c>
      <c r="N3">
        <v>3099.2814409945372</v>
      </c>
      <c r="O3">
        <v>3141.8571189434556</v>
      </c>
      <c r="P3">
        <v>3087.4796156860857</v>
      </c>
      <c r="Q3">
        <v>2735.9113035979785</v>
      </c>
      <c r="R3">
        <v>2735.6529980825899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</row>
    <row r="4" spans="1:30" x14ac:dyDescent="0.3">
      <c r="B4" t="s">
        <v>33</v>
      </c>
      <c r="C4" t="s">
        <v>28</v>
      </c>
      <c r="D4" t="s">
        <v>46</v>
      </c>
      <c r="E4" s="1">
        <f t="shared" si="0"/>
        <v>15223.718151605945</v>
      </c>
      <c r="F4" s="1">
        <f t="shared" si="1"/>
        <v>2250.3044841524065</v>
      </c>
      <c r="G4">
        <v>1180.3801834995456</v>
      </c>
      <c r="H4">
        <v>345.93635748913272</v>
      </c>
      <c r="I4">
        <v>1153.8151688730572</v>
      </c>
      <c r="J4">
        <v>344.94394852353923</v>
      </c>
      <c r="K4">
        <v>1380.3268060724047</v>
      </c>
      <c r="L4">
        <v>400.89367102900724</v>
      </c>
      <c r="M4">
        <v>1370.0408897278749</v>
      </c>
      <c r="N4">
        <v>402.42607857874805</v>
      </c>
      <c r="O4">
        <v>1382.1735775196985</v>
      </c>
      <c r="P4">
        <v>400.89367102900724</v>
      </c>
      <c r="Q4">
        <v>1203.5888874355448</v>
      </c>
      <c r="R4">
        <v>355.21075750297194</v>
      </c>
      <c r="S4">
        <v>1198.0837025914052</v>
      </c>
      <c r="U4">
        <v>1212.683218765987</v>
      </c>
      <c r="W4">
        <v>1404.5349403772402</v>
      </c>
      <c r="Y4">
        <v>1388.8174304422319</v>
      </c>
      <c r="AA4">
        <v>1176.4276557820654</v>
      </c>
      <c r="AC4">
        <v>1172.8456905188905</v>
      </c>
    </row>
    <row r="5" spans="1:30" x14ac:dyDescent="0.3">
      <c r="B5" t="s">
        <v>34</v>
      </c>
      <c r="C5" t="s">
        <v>28</v>
      </c>
      <c r="D5" t="s">
        <v>29</v>
      </c>
      <c r="E5" s="1">
        <f t="shared" si="0"/>
        <v>47445.488421684029</v>
      </c>
      <c r="F5" s="1">
        <f t="shared" si="1"/>
        <v>23334.997463541091</v>
      </c>
      <c r="G5">
        <v>4038.0943005496106</v>
      </c>
      <c r="H5">
        <v>4011.829101030688</v>
      </c>
      <c r="I5">
        <v>3490.7606679465348</v>
      </c>
      <c r="J5">
        <v>3536.9625766518129</v>
      </c>
      <c r="K5">
        <v>4036.0498869748631</v>
      </c>
      <c r="L5">
        <v>3973.0357845262811</v>
      </c>
      <c r="M5">
        <v>4034.8512516822889</v>
      </c>
      <c r="N5">
        <v>4018.2544264057083</v>
      </c>
      <c r="O5">
        <v>3850.6716363195633</v>
      </c>
      <c r="P5">
        <v>3781.5641804527254</v>
      </c>
      <c r="Q5">
        <v>4012.206000512534</v>
      </c>
      <c r="R5">
        <v>4013.351394473877</v>
      </c>
      <c r="S5">
        <v>4191.8305836072741</v>
      </c>
      <c r="U5">
        <v>3829.5903647014206</v>
      </c>
      <c r="W5">
        <v>4027.4497517079799</v>
      </c>
      <c r="Y5">
        <v>4038.2865949226266</v>
      </c>
      <c r="AA5">
        <v>3670.3561704782701</v>
      </c>
      <c r="AC5">
        <v>4225.3412122810596</v>
      </c>
    </row>
    <row r="6" spans="1:30" x14ac:dyDescent="0.3">
      <c r="B6" t="s">
        <v>35</v>
      </c>
      <c r="C6" t="s">
        <v>28</v>
      </c>
      <c r="D6" t="s">
        <v>29</v>
      </c>
      <c r="E6" s="1">
        <f t="shared" si="0"/>
        <v>263977.64155199804</v>
      </c>
      <c r="F6" s="1">
        <f t="shared" si="1"/>
        <v>54519.49028216063</v>
      </c>
      <c r="G6">
        <v>22729.272100666894</v>
      </c>
      <c r="H6">
        <v>0</v>
      </c>
      <c r="I6">
        <v>20191.226167659577</v>
      </c>
      <c r="J6">
        <v>0</v>
      </c>
      <c r="K6">
        <v>22643.75530485667</v>
      </c>
      <c r="L6">
        <v>24322.877204968874</v>
      </c>
      <c r="M6">
        <v>21671.379211886946</v>
      </c>
      <c r="N6">
        <v>2564.7154560167974</v>
      </c>
      <c r="O6">
        <v>22418.543289973873</v>
      </c>
      <c r="P6">
        <v>13582.516913967858</v>
      </c>
      <c r="Q6">
        <v>21854.08924733513</v>
      </c>
      <c r="R6">
        <v>14049.380707207099</v>
      </c>
      <c r="S6">
        <v>22272.854779250694</v>
      </c>
      <c r="U6">
        <v>21955.603119515501</v>
      </c>
      <c r="W6">
        <v>21266.844055221438</v>
      </c>
      <c r="Y6">
        <v>22562.067536828483</v>
      </c>
      <c r="AA6">
        <v>21793.245104158024</v>
      </c>
      <c r="AC6">
        <v>22618.761634644787</v>
      </c>
    </row>
    <row r="7" spans="1:30" x14ac:dyDescent="0.3">
      <c r="B7" t="s">
        <v>36</v>
      </c>
      <c r="C7" t="s">
        <v>28</v>
      </c>
      <c r="D7" t="s">
        <v>29</v>
      </c>
      <c r="E7" s="1">
        <f t="shared" si="0"/>
        <v>131834.85822268887</v>
      </c>
      <c r="F7" s="1">
        <f t="shared" si="1"/>
        <v>143405.92205491022</v>
      </c>
      <c r="G7">
        <v>0</v>
      </c>
      <c r="H7">
        <v>0</v>
      </c>
      <c r="I7">
        <v>0</v>
      </c>
      <c r="J7">
        <v>1050.277096997045</v>
      </c>
      <c r="K7">
        <v>10637.896870955217</v>
      </c>
      <c r="L7">
        <v>58937.353128891365</v>
      </c>
      <c r="M7">
        <v>11892.411767363714</v>
      </c>
      <c r="N7">
        <v>34434.458335700932</v>
      </c>
      <c r="O7">
        <v>12692.732209276668</v>
      </c>
      <c r="P7">
        <v>20068.617501959558</v>
      </c>
      <c r="Q7">
        <v>14469.293319621014</v>
      </c>
      <c r="R7">
        <v>28915.215991361329</v>
      </c>
      <c r="S7">
        <v>18577.639436239031</v>
      </c>
      <c r="U7">
        <v>16625.382580403686</v>
      </c>
      <c r="W7">
        <v>17000.841767946888</v>
      </c>
      <c r="Y7">
        <v>12763.192043284214</v>
      </c>
      <c r="AA7">
        <v>9002.3257474414077</v>
      </c>
      <c r="AC7">
        <v>8173.1424801570292</v>
      </c>
    </row>
    <row r="8" spans="1:30" x14ac:dyDescent="0.3">
      <c r="B8" t="s">
        <v>37</v>
      </c>
      <c r="C8" t="s">
        <v>28</v>
      </c>
      <c r="D8" t="s">
        <v>45</v>
      </c>
      <c r="E8" s="1">
        <f t="shared" si="0"/>
        <v>33532.41883613645</v>
      </c>
      <c r="F8" s="1">
        <f t="shared" si="1"/>
        <v>16793.317045913478</v>
      </c>
      <c r="G8">
        <v>2599.9563513205853</v>
      </c>
      <c r="H8">
        <v>2581.6146081278557</v>
      </c>
      <c r="I8">
        <v>2541.4431032446196</v>
      </c>
      <c r="J8">
        <v>2574.2085710711885</v>
      </c>
      <c r="K8">
        <v>3040.3674142563982</v>
      </c>
      <c r="L8">
        <v>2991.7438136493079</v>
      </c>
      <c r="M8">
        <v>3017.7112108543502</v>
      </c>
      <c r="N8">
        <v>3003.1796908861793</v>
      </c>
      <c r="O8">
        <v>3044.4351927746661</v>
      </c>
      <c r="P8">
        <v>2991.7438136493079</v>
      </c>
      <c r="Q8">
        <v>2651.0768445716844</v>
      </c>
      <c r="R8">
        <v>2650.8265485296415</v>
      </c>
      <c r="S8">
        <v>2638.9508867652098</v>
      </c>
      <c r="U8">
        <v>2671.1084113788261</v>
      </c>
      <c r="W8">
        <v>3093.6892959851107</v>
      </c>
      <c r="Y8">
        <v>3059.0692300489691</v>
      </c>
      <c r="AA8">
        <v>2591.2503431323025</v>
      </c>
      <c r="AC8">
        <v>2583.3605518037239</v>
      </c>
    </row>
    <row r="9" spans="1:30" x14ac:dyDescent="0.3">
      <c r="B9" t="s">
        <v>38</v>
      </c>
      <c r="C9" t="s">
        <v>28</v>
      </c>
      <c r="D9" t="s">
        <v>44</v>
      </c>
      <c r="E9" s="1">
        <f t="shared" si="0"/>
        <v>17337.12192370207</v>
      </c>
      <c r="F9" s="1">
        <f t="shared" si="1"/>
        <v>11175.169646298331</v>
      </c>
      <c r="G9">
        <v>3059.16234890122</v>
      </c>
      <c r="H9">
        <v>3035.9787791583585</v>
      </c>
      <c r="I9">
        <v>3062.0707613566096</v>
      </c>
      <c r="J9">
        <v>3099.3471195697111</v>
      </c>
      <c r="K9">
        <v>3057.6135507385325</v>
      </c>
      <c r="L9">
        <v>3009.6942765312037</v>
      </c>
      <c r="M9">
        <v>2037.8036624658023</v>
      </c>
      <c r="N9">
        <v>2030.1494710390573</v>
      </c>
      <c r="O9">
        <v>0</v>
      </c>
      <c r="Q9">
        <v>0</v>
      </c>
      <c r="R9">
        <v>0</v>
      </c>
      <c r="S9">
        <v>0</v>
      </c>
      <c r="U9">
        <v>0</v>
      </c>
      <c r="W9">
        <v>0</v>
      </c>
      <c r="Y9">
        <v>0</v>
      </c>
      <c r="AA9">
        <v>3058.6301420652253</v>
      </c>
      <c r="AC9">
        <v>3061.8414581746811</v>
      </c>
    </row>
    <row r="10" spans="1:30" x14ac:dyDescent="0.3">
      <c r="B10" t="s">
        <v>39</v>
      </c>
      <c r="C10" t="s">
        <v>28</v>
      </c>
      <c r="D10" t="s">
        <v>44</v>
      </c>
      <c r="E10" s="1">
        <f t="shared" si="0"/>
        <v>51122.680028537798</v>
      </c>
      <c r="F10" s="1">
        <f t="shared" si="1"/>
        <v>29094.471315344879</v>
      </c>
      <c r="G10">
        <v>7302.8323592969928</v>
      </c>
      <c r="H10">
        <v>7249.1738196230199</v>
      </c>
      <c r="I10">
        <v>7309.7753215104976</v>
      </c>
      <c r="J10">
        <v>7403.423850400738</v>
      </c>
      <c r="K10">
        <v>7299.1350683230239</v>
      </c>
      <c r="L10">
        <v>7180.1851527583394</v>
      </c>
      <c r="M10">
        <v>7296.9673545575442</v>
      </c>
      <c r="N10">
        <v>7261.6884925627819</v>
      </c>
      <c r="O10">
        <v>0</v>
      </c>
      <c r="Q10">
        <v>0</v>
      </c>
      <c r="R10">
        <v>0</v>
      </c>
      <c r="S10">
        <v>0</v>
      </c>
      <c r="U10">
        <v>0</v>
      </c>
      <c r="W10">
        <v>0</v>
      </c>
      <c r="Y10">
        <v>7303.1801207570415</v>
      </c>
      <c r="AA10">
        <v>7301.5618751381062</v>
      </c>
      <c r="AC10">
        <v>7309.2279289545977</v>
      </c>
    </row>
    <row r="11" spans="1:30" x14ac:dyDescent="0.3">
      <c r="B11" t="s">
        <v>40</v>
      </c>
      <c r="C11" t="s">
        <v>28</v>
      </c>
      <c r="D11" t="s">
        <v>46</v>
      </c>
      <c r="E11" s="1">
        <f t="shared" si="0"/>
        <v>38376.274552253584</v>
      </c>
      <c r="F11" s="1">
        <f t="shared" si="1"/>
        <v>21847.230778292644</v>
      </c>
      <c r="G11">
        <v>5482.0189292309869</v>
      </c>
      <c r="H11">
        <v>5442.0435939335202</v>
      </c>
      <c r="I11">
        <v>5487.2308043510438</v>
      </c>
      <c r="J11">
        <v>5560.2905135137671</v>
      </c>
      <c r="K11">
        <v>5479.2434829234498</v>
      </c>
      <c r="L11">
        <v>5391.1223521960528</v>
      </c>
      <c r="M11">
        <v>5477.6162447080769</v>
      </c>
      <c r="N11">
        <v>5453.7743186493017</v>
      </c>
      <c r="O11">
        <v>0</v>
      </c>
      <c r="Q11">
        <v>0</v>
      </c>
      <c r="R11">
        <v>0</v>
      </c>
      <c r="S11">
        <v>0</v>
      </c>
      <c r="U11">
        <v>0</v>
      </c>
      <c r="W11">
        <v>0</v>
      </c>
      <c r="Y11">
        <v>5482.2799834101115</v>
      </c>
      <c r="AA11">
        <v>5481.0652145808835</v>
      </c>
      <c r="AC11">
        <v>5486.8198930490289</v>
      </c>
    </row>
    <row r="12" spans="1:30" x14ac:dyDescent="0.3">
      <c r="B12" t="s">
        <v>41</v>
      </c>
      <c r="C12" t="s">
        <v>28</v>
      </c>
      <c r="D12" t="s">
        <v>44</v>
      </c>
      <c r="E12" s="1">
        <f t="shared" si="0"/>
        <v>35977.757392737731</v>
      </c>
      <c r="F12" s="1">
        <f t="shared" si="1"/>
        <v>20478.05247496127</v>
      </c>
      <c r="G12">
        <v>5139.3927461540507</v>
      </c>
      <c r="H12">
        <v>5101.2704656606429</v>
      </c>
      <c r="I12">
        <v>5144.2788790791037</v>
      </c>
      <c r="J12">
        <v>5210.1981478480857</v>
      </c>
      <c r="K12">
        <v>5136.7907652407339</v>
      </c>
      <c r="L12">
        <v>5056.0470450673301</v>
      </c>
      <c r="M12">
        <v>5135.2652294138215</v>
      </c>
      <c r="N12">
        <v>5110.5368163852099</v>
      </c>
      <c r="O12">
        <v>0</v>
      </c>
      <c r="Q12">
        <v>0</v>
      </c>
      <c r="R12">
        <v>0</v>
      </c>
      <c r="S12">
        <v>0</v>
      </c>
      <c r="U12">
        <v>0</v>
      </c>
      <c r="W12">
        <v>0</v>
      </c>
      <c r="Y12">
        <v>5139.6374844469792</v>
      </c>
      <c r="AA12">
        <v>5138.4986386695782</v>
      </c>
      <c r="AC12">
        <v>5143.8936497334635</v>
      </c>
    </row>
    <row r="13" spans="1:30" x14ac:dyDescent="0.3">
      <c r="B13" t="s">
        <v>42</v>
      </c>
      <c r="C13" t="s">
        <v>28</v>
      </c>
      <c r="D13" t="s">
        <v>29</v>
      </c>
      <c r="E13" s="1">
        <f t="shared" si="0"/>
        <v>51006.716015228179</v>
      </c>
      <c r="F13" s="1">
        <f t="shared" si="1"/>
        <v>0</v>
      </c>
      <c r="G13">
        <v>0</v>
      </c>
      <c r="H13">
        <v>0</v>
      </c>
      <c r="I13">
        <v>0</v>
      </c>
      <c r="K13">
        <v>0</v>
      </c>
      <c r="M13">
        <v>0</v>
      </c>
      <c r="O13">
        <v>0</v>
      </c>
      <c r="Q13">
        <v>6880.3070502078508</v>
      </c>
      <c r="R13">
        <v>0</v>
      </c>
      <c r="S13">
        <v>7077.1312581245111</v>
      </c>
      <c r="U13">
        <v>7163.3712195304997</v>
      </c>
      <c r="W13">
        <v>8029.0136884952753</v>
      </c>
      <c r="Y13">
        <v>8203.8034801337362</v>
      </c>
      <c r="AA13">
        <v>6725.0400686092262</v>
      </c>
      <c r="AC13">
        <v>6928.0492501270855</v>
      </c>
    </row>
    <row r="14" spans="1:30" x14ac:dyDescent="0.3">
      <c r="B14" t="s">
        <v>43</v>
      </c>
      <c r="C14" t="s">
        <v>28</v>
      </c>
      <c r="D14" t="s">
        <v>46</v>
      </c>
      <c r="E14" s="1">
        <f t="shared" si="0"/>
        <v>6654.9714876456555</v>
      </c>
      <c r="F14" s="1">
        <f t="shared" si="1"/>
        <v>0</v>
      </c>
      <c r="G14">
        <v>0</v>
      </c>
      <c r="I14">
        <v>0</v>
      </c>
      <c r="K14">
        <v>0</v>
      </c>
      <c r="M14">
        <v>0</v>
      </c>
      <c r="O14">
        <v>0</v>
      </c>
      <c r="Q14">
        <v>0</v>
      </c>
      <c r="R14">
        <v>0</v>
      </c>
      <c r="S14">
        <v>1055.5803547060839</v>
      </c>
      <c r="U14">
        <v>1068.4433645515303</v>
      </c>
      <c r="W14">
        <v>1237.4757183940442</v>
      </c>
      <c r="Y14">
        <v>1223.6276920195876</v>
      </c>
      <c r="AA14">
        <v>1036.5001372529209</v>
      </c>
      <c r="AC14">
        <v>1033.3442207214896</v>
      </c>
    </row>
    <row r="15" spans="1:30" x14ac:dyDescent="0.3">
      <c r="B15" t="s">
        <v>30</v>
      </c>
      <c r="C15" t="s">
        <v>58</v>
      </c>
      <c r="D15" t="s">
        <v>59</v>
      </c>
      <c r="E15" s="1">
        <f t="shared" ref="E15:E26" si="2">G15+I15+K15+M15+O15+Q15+S15+U15+W15+Y15+AA15+AC15</f>
        <v>6096.9928726941553</v>
      </c>
      <c r="F15" s="1">
        <f t="shared" ref="F15:F26" si="3">H15+J15+L15+N15+P15+R15+T15+V15+X15+Z15+AB15+AD15</f>
        <v>0</v>
      </c>
      <c r="G15">
        <v>0</v>
      </c>
      <c r="H15">
        <v>0</v>
      </c>
      <c r="I15">
        <v>539.58935252900847</v>
      </c>
      <c r="J15">
        <v>0</v>
      </c>
      <c r="K15">
        <v>552.75415035652622</v>
      </c>
      <c r="L15">
        <v>0</v>
      </c>
      <c r="M15">
        <v>530.18514213947265</v>
      </c>
      <c r="N15">
        <v>0</v>
      </c>
      <c r="O15">
        <v>571.05422674169427</v>
      </c>
      <c r="P15">
        <v>0</v>
      </c>
      <c r="Q15">
        <v>586.2912856242724</v>
      </c>
      <c r="R15">
        <v>0</v>
      </c>
      <c r="S15">
        <v>616.82319712696437</v>
      </c>
      <c r="U15">
        <v>537.01163855895538</v>
      </c>
      <c r="W15">
        <v>538.96655379238587</v>
      </c>
      <c r="Y15">
        <v>540.48421181604215</v>
      </c>
      <c r="AA15">
        <v>540.66473828461744</v>
      </c>
      <c r="AC15">
        <v>543.16837572421559</v>
      </c>
    </row>
    <row r="16" spans="1:30" x14ac:dyDescent="0.3">
      <c r="B16" t="s">
        <v>47</v>
      </c>
      <c r="C16" t="s">
        <v>58</v>
      </c>
      <c r="D16" t="s">
        <v>44</v>
      </c>
      <c r="E16" s="1">
        <f t="shared" si="2"/>
        <v>3419.3831595959582</v>
      </c>
      <c r="F16" s="1">
        <f t="shared" si="3"/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362.24438767605989</v>
      </c>
      <c r="N16">
        <v>0</v>
      </c>
      <c r="O16">
        <v>390.16783431749423</v>
      </c>
      <c r="P16">
        <v>0</v>
      </c>
      <c r="Q16">
        <v>400.57842229178266</v>
      </c>
      <c r="R16">
        <v>0</v>
      </c>
      <c r="S16">
        <v>421.43908530893447</v>
      </c>
      <c r="U16">
        <v>366.9085319888739</v>
      </c>
      <c r="W16">
        <v>368.24421082143226</v>
      </c>
      <c r="Y16">
        <v>369.28113746796663</v>
      </c>
      <c r="AA16">
        <v>369.40448060769415</v>
      </c>
      <c r="AC16">
        <v>371.11506911572047</v>
      </c>
    </row>
    <row r="17" spans="2:29" x14ac:dyDescent="0.3">
      <c r="B17" t="s">
        <v>48</v>
      </c>
      <c r="C17" t="s">
        <v>58</v>
      </c>
      <c r="D17" t="s">
        <v>44</v>
      </c>
      <c r="E17" s="1">
        <f t="shared" si="2"/>
        <v>3065.5493956388632</v>
      </c>
      <c r="F17" s="1">
        <f t="shared" si="3"/>
        <v>1007.6101145054332</v>
      </c>
      <c r="G17">
        <v>244.83229063714023</v>
      </c>
      <c r="H17">
        <v>0</v>
      </c>
      <c r="I17">
        <v>249.63600058840498</v>
      </c>
      <c r="J17">
        <v>0</v>
      </c>
      <c r="K17">
        <v>255.72657198832854</v>
      </c>
      <c r="L17">
        <v>295.96962218530211</v>
      </c>
      <c r="M17">
        <v>245.28523002680569</v>
      </c>
      <c r="N17">
        <v>177.41590445152744</v>
      </c>
      <c r="O17">
        <v>264.19293230074794</v>
      </c>
      <c r="P17">
        <v>295.96962218530211</v>
      </c>
      <c r="Q17">
        <v>271.24221602428537</v>
      </c>
      <c r="R17">
        <v>238.25496568330149</v>
      </c>
      <c r="S17">
        <v>285.36752120706581</v>
      </c>
      <c r="U17">
        <v>248.44344516986507</v>
      </c>
      <c r="W17">
        <v>249.34786853936939</v>
      </c>
      <c r="Y17">
        <v>250.04999892335636</v>
      </c>
      <c r="AA17">
        <v>250.13351781675973</v>
      </c>
      <c r="AC17">
        <v>251.29180241673444</v>
      </c>
    </row>
    <row r="18" spans="2:29" x14ac:dyDescent="0.3">
      <c r="B18" t="s">
        <v>49</v>
      </c>
      <c r="C18" t="s">
        <v>58</v>
      </c>
      <c r="D18" t="s">
        <v>29</v>
      </c>
      <c r="E18" s="1">
        <f t="shared" si="2"/>
        <v>60436.000000000007</v>
      </c>
      <c r="F18" s="1">
        <f t="shared" si="3"/>
        <v>16085.004216197127</v>
      </c>
      <c r="G18">
        <v>0</v>
      </c>
      <c r="H18">
        <v>0</v>
      </c>
      <c r="I18">
        <v>0</v>
      </c>
      <c r="J18">
        <v>3843.2824761731422</v>
      </c>
      <c r="K18">
        <v>0</v>
      </c>
      <c r="L18">
        <v>1811.3340877740488</v>
      </c>
      <c r="M18">
        <v>0</v>
      </c>
      <c r="N18">
        <v>225.81496318590411</v>
      </c>
      <c r="O18">
        <v>7.9999999999999991</v>
      </c>
      <c r="P18">
        <v>2312.5093146744939</v>
      </c>
      <c r="Q18">
        <v>3970.0000000000005</v>
      </c>
      <c r="R18">
        <v>7892.0633743895378</v>
      </c>
      <c r="S18">
        <v>21086.000000000004</v>
      </c>
      <c r="U18">
        <v>25300.000000000004</v>
      </c>
      <c r="W18">
        <v>9149.9999999999982</v>
      </c>
      <c r="Y18">
        <v>551.99999999999989</v>
      </c>
      <c r="AA18">
        <v>72</v>
      </c>
      <c r="AC18">
        <v>298</v>
      </c>
    </row>
    <row r="19" spans="2:29" x14ac:dyDescent="0.3">
      <c r="B19" t="s">
        <v>50</v>
      </c>
      <c r="C19" t="s">
        <v>58</v>
      </c>
      <c r="D19" t="s">
        <v>59</v>
      </c>
      <c r="E19" s="1">
        <f t="shared" si="2"/>
        <v>27933.602511335965</v>
      </c>
      <c r="F19" s="1">
        <f t="shared" si="3"/>
        <v>0</v>
      </c>
      <c r="G19">
        <v>0</v>
      </c>
      <c r="H19">
        <v>0</v>
      </c>
      <c r="I19">
        <v>2472.1489441784606</v>
      </c>
      <c r="J19">
        <v>0</v>
      </c>
      <c r="K19">
        <v>2532.4639613245249</v>
      </c>
      <c r="L19">
        <v>0</v>
      </c>
      <c r="M19">
        <v>2429.063200035514</v>
      </c>
      <c r="N19">
        <v>0</v>
      </c>
      <c r="O19">
        <v>2616.3064506211358</v>
      </c>
      <c r="P19">
        <v>0</v>
      </c>
      <c r="Q19">
        <v>2686.1156098500987</v>
      </c>
      <c r="R19">
        <v>0</v>
      </c>
      <c r="S19">
        <v>2825.9987124935524</v>
      </c>
      <c r="U19">
        <v>2460.3390505258271</v>
      </c>
      <c r="W19">
        <v>2469.295568306678</v>
      </c>
      <c r="Y19">
        <v>2476.248775710088</v>
      </c>
      <c r="AA19">
        <v>2477.0758645260416</v>
      </c>
      <c r="AC19">
        <v>2488.5463737640375</v>
      </c>
    </row>
    <row r="20" spans="2:29" x14ac:dyDescent="0.3">
      <c r="B20" t="s">
        <v>51</v>
      </c>
      <c r="C20" t="s">
        <v>58</v>
      </c>
      <c r="D20" t="s">
        <v>44</v>
      </c>
      <c r="E20" s="1">
        <f t="shared" si="2"/>
        <v>8222.6169423861793</v>
      </c>
      <c r="F20" s="1">
        <f t="shared" si="3"/>
        <v>693.58667787805541</v>
      </c>
      <c r="G20">
        <v>0</v>
      </c>
      <c r="H20">
        <v>0</v>
      </c>
      <c r="I20">
        <v>727.70899436456989</v>
      </c>
      <c r="J20">
        <v>0</v>
      </c>
      <c r="K20">
        <v>745.46349923605135</v>
      </c>
      <c r="L20">
        <v>0</v>
      </c>
      <c r="M20">
        <v>715.02614869074978</v>
      </c>
      <c r="N20">
        <v>0</v>
      </c>
      <c r="O20">
        <v>770.14361962877092</v>
      </c>
      <c r="P20">
        <v>0</v>
      </c>
      <c r="Q20">
        <v>790.69284793460292</v>
      </c>
      <c r="R20">
        <v>693.58667787805541</v>
      </c>
      <c r="S20">
        <v>831.8692471936256</v>
      </c>
      <c r="U20">
        <v>724.23259952446597</v>
      </c>
      <c r="W20">
        <v>726.8690662966884</v>
      </c>
      <c r="Y20">
        <v>728.91583276642677</v>
      </c>
      <c r="AA20">
        <v>729.15929704956613</v>
      </c>
      <c r="AC20">
        <v>732.53578970066133</v>
      </c>
    </row>
    <row r="21" spans="2:29" x14ac:dyDescent="0.3">
      <c r="B21" t="s">
        <v>52</v>
      </c>
      <c r="C21" t="s">
        <v>58</v>
      </c>
      <c r="D21" t="s">
        <v>59</v>
      </c>
      <c r="E21" s="1">
        <f t="shared" si="2"/>
        <v>9735.9616503454636</v>
      </c>
      <c r="F21" s="1">
        <f t="shared" si="3"/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1157.5951429454685</v>
      </c>
      <c r="N21">
        <v>0</v>
      </c>
      <c r="O21">
        <v>1270.3937257782627</v>
      </c>
      <c r="P21">
        <v>0</v>
      </c>
      <c r="Q21">
        <v>1072.8236072889069</v>
      </c>
      <c r="R21">
        <v>0</v>
      </c>
      <c r="S21">
        <v>1054.6858979607912</v>
      </c>
      <c r="U21">
        <v>889.40494752789493</v>
      </c>
      <c r="W21">
        <v>950.99499450616497</v>
      </c>
      <c r="Y21">
        <v>1259.9412340842305</v>
      </c>
      <c r="AA21">
        <v>1006.6757220156314</v>
      </c>
      <c r="AC21">
        <v>1073.4463782381104</v>
      </c>
    </row>
    <row r="22" spans="2:29" x14ac:dyDescent="0.3">
      <c r="B22" t="s">
        <v>53</v>
      </c>
      <c r="C22" t="s">
        <v>58</v>
      </c>
      <c r="D22" t="s">
        <v>59</v>
      </c>
      <c r="E22" s="1">
        <f t="shared" si="2"/>
        <v>2241.4148594950161</v>
      </c>
      <c r="F22" s="1">
        <f t="shared" si="3"/>
        <v>619.9179399766474</v>
      </c>
      <c r="G22">
        <v>0</v>
      </c>
      <c r="H22">
        <v>0</v>
      </c>
      <c r="I22">
        <v>0</v>
      </c>
      <c r="J22">
        <v>0</v>
      </c>
      <c r="K22">
        <v>222.93708955290023</v>
      </c>
      <c r="L22">
        <v>0</v>
      </c>
      <c r="M22">
        <v>213.83454549645106</v>
      </c>
      <c r="N22">
        <v>154.54896565555276</v>
      </c>
      <c r="O22">
        <v>230.31788581697836</v>
      </c>
      <c r="P22">
        <v>257.8224264369743</v>
      </c>
      <c r="Q22">
        <v>236.46330427912312</v>
      </c>
      <c r="R22">
        <v>207.5465478841204</v>
      </c>
      <c r="S22">
        <v>248.77745060349997</v>
      </c>
      <c r="U22">
        <v>216.587811559892</v>
      </c>
      <c r="W22">
        <v>217.37626898202538</v>
      </c>
      <c r="Y22">
        <v>217.98837160036359</v>
      </c>
      <c r="AA22">
        <v>218.06118162895493</v>
      </c>
      <c r="AC22">
        <v>219.07094997482744</v>
      </c>
    </row>
    <row r="23" spans="2:29" x14ac:dyDescent="0.3">
      <c r="B23" t="s">
        <v>54</v>
      </c>
      <c r="C23" t="s">
        <v>58</v>
      </c>
      <c r="D23" t="s">
        <v>29</v>
      </c>
      <c r="E23" s="1">
        <f t="shared" si="2"/>
        <v>18572.754733643342</v>
      </c>
      <c r="F23" s="1">
        <f t="shared" si="3"/>
        <v>5133.3000846025452</v>
      </c>
      <c r="G23">
        <v>0</v>
      </c>
      <c r="H23">
        <v>0</v>
      </c>
      <c r="I23">
        <v>0</v>
      </c>
      <c r="J23">
        <v>0</v>
      </c>
      <c r="K23">
        <v>1847.2956346114133</v>
      </c>
      <c r="L23">
        <v>0</v>
      </c>
      <c r="M23">
        <v>1771.8703658368938</v>
      </c>
      <c r="N23">
        <v>1279.7600574436844</v>
      </c>
      <c r="O23">
        <v>1908.4542006711558</v>
      </c>
      <c r="P23">
        <v>2134.9275413633127</v>
      </c>
      <c r="Q23">
        <v>1959.3762106460219</v>
      </c>
      <c r="R23">
        <v>1718.6124857955481</v>
      </c>
      <c r="S23">
        <v>2061.41337635321</v>
      </c>
      <c r="U23">
        <v>1794.6844089829599</v>
      </c>
      <c r="W23">
        <v>1801.2177047970613</v>
      </c>
      <c r="Y23">
        <v>1806.2896939266318</v>
      </c>
      <c r="AA23">
        <v>1806.8930105315198</v>
      </c>
      <c r="AC23">
        <v>1815.2601272864754</v>
      </c>
    </row>
    <row r="24" spans="2:29" x14ac:dyDescent="0.3">
      <c r="B24" t="s">
        <v>55</v>
      </c>
      <c r="C24" t="s">
        <v>58</v>
      </c>
      <c r="D24" t="s">
        <v>45</v>
      </c>
      <c r="E24" s="1">
        <f t="shared" si="2"/>
        <v>25646.702783016008</v>
      </c>
      <c r="F24" s="1">
        <f t="shared" si="3"/>
        <v>13796.592583768595</v>
      </c>
      <c r="G24">
        <v>2396.5839709568104</v>
      </c>
      <c r="H24">
        <v>2868.9200650789135</v>
      </c>
      <c r="I24">
        <v>2186.0094109104584</v>
      </c>
      <c r="J24">
        <v>2510.31037244657</v>
      </c>
      <c r="K24">
        <v>2313.8391012117986</v>
      </c>
      <c r="L24">
        <v>2674.249964012085</v>
      </c>
      <c r="M24">
        <v>2132.8113384286839</v>
      </c>
      <c r="N24">
        <v>1540.3745898456709</v>
      </c>
      <c r="O24">
        <v>2019.0907596235684</v>
      </c>
      <c r="P24">
        <v>2258.5770724096164</v>
      </c>
      <c r="Q24">
        <v>2216.6936503762281</v>
      </c>
      <c r="R24">
        <v>1944.1605199757403</v>
      </c>
      <c r="S24">
        <v>2308.9545563160359</v>
      </c>
      <c r="U24">
        <v>1833.3132937050825</v>
      </c>
      <c r="W24">
        <v>1921.0611569452817</v>
      </c>
      <c r="Y24">
        <v>1962.4765306843228</v>
      </c>
      <c r="AA24">
        <v>2142.4633383495961</v>
      </c>
      <c r="AC24">
        <v>2213.4056755081406</v>
      </c>
    </row>
    <row r="25" spans="2:29" x14ac:dyDescent="0.3">
      <c r="B25" t="s">
        <v>56</v>
      </c>
      <c r="C25" t="s">
        <v>58</v>
      </c>
      <c r="D25" t="s">
        <v>46</v>
      </c>
      <c r="E25" s="1">
        <f t="shared" si="2"/>
        <v>4498.3591021356697</v>
      </c>
      <c r="F25" s="1">
        <f t="shared" si="3"/>
        <v>9426.6062384383968</v>
      </c>
      <c r="G25">
        <v>2410.4370599192048</v>
      </c>
      <c r="H25">
        <v>2885.8804838356327</v>
      </c>
      <c r="I25">
        <v>2087.9220422164653</v>
      </c>
      <c r="J25">
        <v>6540.725754602764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>
        <v>0</v>
      </c>
      <c r="W25">
        <v>0</v>
      </c>
      <c r="Y25">
        <v>0</v>
      </c>
      <c r="AA25">
        <v>0</v>
      </c>
      <c r="AC25">
        <v>0</v>
      </c>
    </row>
    <row r="26" spans="2:29" x14ac:dyDescent="0.3">
      <c r="B26" t="s">
        <v>57</v>
      </c>
      <c r="C26" t="s">
        <v>58</v>
      </c>
      <c r="D26" t="s">
        <v>46</v>
      </c>
      <c r="E26" s="1">
        <f t="shared" si="2"/>
        <v>7691.9971627773957</v>
      </c>
      <c r="F26" s="1">
        <f t="shared" si="3"/>
        <v>0</v>
      </c>
      <c r="G26">
        <v>1511.5044286467992</v>
      </c>
      <c r="H26">
        <v>0</v>
      </c>
      <c r="I26">
        <v>1541.1607654248285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>
        <v>0</v>
      </c>
      <c r="W26">
        <v>0</v>
      </c>
      <c r="Y26">
        <v>1543.7166387334632</v>
      </c>
      <c r="AA26">
        <v>1544.2322536342851</v>
      </c>
      <c r="AC26">
        <v>1551.3830763380188</v>
      </c>
    </row>
  </sheetData>
  <phoneticPr fontId="1" type="noConversion"/>
  <dataValidations count="2">
    <dataValidation type="list" allowBlank="1" showInputMessage="1" showErrorMessage="1" sqref="B3 D2:D26" xr:uid="{5D76791D-D6F2-4DDC-AFED-1602B873B3CA}">
      <formula1>"설비교체,운전개선,공정개선,누설저감,계약변경,기타"</formula1>
    </dataValidation>
    <dataValidation type="list" allowBlank="1" showInputMessage="1" showErrorMessage="1" sqref="C2:C26" xr:uid="{EE31B6F8-9BBA-4A6F-8D4B-6DB764FDA590}">
      <formula1>"전력,연료,용수"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ED33-A67E-4C89-994B-C753B0E28940}">
  <dimension ref="A1:AE7"/>
  <sheetViews>
    <sheetView zoomScale="85" zoomScaleNormal="85" workbookViewId="0">
      <selection activeCell="B1" sqref="B1:B1048576"/>
    </sheetView>
  </sheetViews>
  <sheetFormatPr defaultRowHeight="16.5" x14ac:dyDescent="0.3"/>
  <cols>
    <col min="2" max="2" width="30.625" customWidth="1"/>
  </cols>
  <sheetData>
    <row r="1" spans="1:31" x14ac:dyDescent="0.3">
      <c r="A1" s="3" t="s">
        <v>27</v>
      </c>
      <c r="B1" s="3" t="s">
        <v>0</v>
      </c>
      <c r="C1" s="3" t="s">
        <v>2</v>
      </c>
      <c r="D1" s="3" t="s">
        <v>1</v>
      </c>
      <c r="E1" s="3" t="s">
        <v>91</v>
      </c>
      <c r="F1" s="3" t="s">
        <v>92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</row>
    <row r="2" spans="1:31" x14ac:dyDescent="0.3">
      <c r="B2" t="s">
        <v>60</v>
      </c>
      <c r="C2" s="2" t="s">
        <v>28</v>
      </c>
      <c r="D2" s="2" t="s">
        <v>44</v>
      </c>
      <c r="E2" s="1">
        <f>G2+I2+K2+M2+O2+Q2+S2+U2+W2+Y2+AA2+AC2</f>
        <v>1158855</v>
      </c>
      <c r="F2" s="1">
        <f>H2+J2+L2+N2+P2+R2+T2+V2+X2+Z2+AB2+AD2</f>
        <v>604620</v>
      </c>
      <c r="G2">
        <v>604620</v>
      </c>
      <c r="H2">
        <v>302310</v>
      </c>
      <c r="I2">
        <v>50385</v>
      </c>
      <c r="J2">
        <v>50385</v>
      </c>
      <c r="K2">
        <v>50385</v>
      </c>
      <c r="L2">
        <v>50385</v>
      </c>
      <c r="M2">
        <v>50385</v>
      </c>
      <c r="N2">
        <v>50385</v>
      </c>
      <c r="O2">
        <v>50385</v>
      </c>
      <c r="P2">
        <v>50385</v>
      </c>
      <c r="Q2">
        <v>50385</v>
      </c>
      <c r="R2">
        <v>50385</v>
      </c>
      <c r="S2">
        <v>50385</v>
      </c>
      <c r="T2">
        <v>50385</v>
      </c>
      <c r="U2">
        <v>50385</v>
      </c>
      <c r="W2">
        <v>50385</v>
      </c>
      <c r="Y2">
        <v>50385</v>
      </c>
      <c r="AA2">
        <v>50385</v>
      </c>
      <c r="AC2">
        <v>50385</v>
      </c>
      <c r="AE2">
        <v>50385</v>
      </c>
    </row>
    <row r="3" spans="1:31" x14ac:dyDescent="0.3">
      <c r="B3" t="s">
        <v>61</v>
      </c>
      <c r="C3" s="2" t="s">
        <v>28</v>
      </c>
      <c r="D3" s="2" t="s">
        <v>45</v>
      </c>
      <c r="E3" s="1">
        <f>G3+I3+K3+M3+O3+Q3+S3+U3+W3+Y3+AA3+AC3</f>
        <v>312501</v>
      </c>
      <c r="F3" s="1">
        <f>H3+J3+L3+N3+P3+R3+T3+V3+X3+Z3+AB3+AD3</f>
        <v>163044</v>
      </c>
      <c r="G3">
        <v>163044</v>
      </c>
      <c r="H3">
        <v>81522</v>
      </c>
      <c r="I3">
        <v>13587</v>
      </c>
      <c r="J3">
        <v>13587</v>
      </c>
      <c r="K3">
        <v>13587</v>
      </c>
      <c r="L3">
        <v>13587</v>
      </c>
      <c r="M3">
        <v>13587</v>
      </c>
      <c r="N3">
        <v>13587</v>
      </c>
      <c r="O3">
        <v>13587</v>
      </c>
      <c r="P3">
        <v>13587</v>
      </c>
      <c r="Q3">
        <v>13587</v>
      </c>
      <c r="R3">
        <v>13587</v>
      </c>
      <c r="S3">
        <v>13587</v>
      </c>
      <c r="T3">
        <v>13587</v>
      </c>
      <c r="U3">
        <v>13587</v>
      </c>
      <c r="W3">
        <v>13587</v>
      </c>
      <c r="Y3">
        <v>13587</v>
      </c>
      <c r="AA3">
        <v>13587</v>
      </c>
      <c r="AC3">
        <v>13587</v>
      </c>
      <c r="AE3">
        <v>13587</v>
      </c>
    </row>
    <row r="4" spans="1:31" x14ac:dyDescent="0.3">
      <c r="B4" t="s">
        <v>62</v>
      </c>
      <c r="C4" s="2" t="s">
        <v>28</v>
      </c>
      <c r="D4" s="2" t="s">
        <v>46</v>
      </c>
      <c r="E4" s="1">
        <f>G4+I4+K4+M4+O4+Q4+S4+U4+W4+Y4+AA4+AC4</f>
        <v>97524.75</v>
      </c>
      <c r="F4" s="1">
        <f>H4+J4+L4+N4+P4+R4+T4+V4+X4+Z4+AB4+AD4</f>
        <v>0</v>
      </c>
      <c r="G4">
        <v>54180.416666666672</v>
      </c>
      <c r="H4">
        <v>0</v>
      </c>
      <c r="I4">
        <v>0</v>
      </c>
      <c r="K4">
        <v>0</v>
      </c>
      <c r="M4">
        <v>0</v>
      </c>
      <c r="O4">
        <v>0</v>
      </c>
      <c r="P4">
        <v>0</v>
      </c>
      <c r="Q4">
        <v>0</v>
      </c>
      <c r="S4">
        <v>0</v>
      </c>
      <c r="U4">
        <v>0</v>
      </c>
      <c r="W4">
        <v>10836.083333333334</v>
      </c>
      <c r="Y4">
        <v>10836.083333333334</v>
      </c>
      <c r="AA4">
        <v>10836.083333333334</v>
      </c>
      <c r="AC4">
        <v>10836.083333333334</v>
      </c>
      <c r="AE4">
        <v>10836.083333333334</v>
      </c>
    </row>
    <row r="5" spans="1:31" x14ac:dyDescent="0.3">
      <c r="B5" t="s">
        <v>63</v>
      </c>
      <c r="C5" s="2" t="s">
        <v>28</v>
      </c>
      <c r="D5" s="2" t="s">
        <v>59</v>
      </c>
      <c r="E5" s="1">
        <f>G5+I5+K5+M5+O5+Q5+S5+U5+W5+Y5+AA5+AC5</f>
        <v>31178</v>
      </c>
      <c r="F5" s="1">
        <f>H5+J5+L5+N5+P5+R5+T5+V5+X5+Z5+AB5+AD5</f>
        <v>11004</v>
      </c>
      <c r="G5">
        <v>16506</v>
      </c>
      <c r="H5">
        <v>5502</v>
      </c>
      <c r="I5">
        <v>0</v>
      </c>
      <c r="K5">
        <v>0</v>
      </c>
      <c r="M5">
        <v>0</v>
      </c>
      <c r="O5">
        <v>1834</v>
      </c>
      <c r="P5">
        <v>1834</v>
      </c>
      <c r="Q5">
        <v>1834</v>
      </c>
      <c r="R5">
        <v>1834</v>
      </c>
      <c r="S5">
        <v>1834</v>
      </c>
      <c r="T5">
        <v>1834</v>
      </c>
      <c r="U5">
        <v>1834</v>
      </c>
      <c r="W5">
        <v>1834</v>
      </c>
      <c r="Y5">
        <v>1834</v>
      </c>
      <c r="AA5">
        <v>1834</v>
      </c>
      <c r="AC5">
        <v>1834</v>
      </c>
      <c r="AE5">
        <v>1834</v>
      </c>
    </row>
    <row r="6" spans="1:31" x14ac:dyDescent="0.3">
      <c r="B6" t="s">
        <v>64</v>
      </c>
      <c r="C6" s="2" t="s">
        <v>58</v>
      </c>
      <c r="D6" s="2" t="s">
        <v>59</v>
      </c>
      <c r="E6" s="1">
        <f>G6+I6+K6+M6+O6+Q6+S6+U6+W6+Y6+AA6+AC6</f>
        <v>8868.9600000000009</v>
      </c>
      <c r="F6" s="1">
        <f>H6+J6+L6+N6+P6+R6+T6+V6+X6+Z6+AB6+AD6</f>
        <v>4434.4800000000005</v>
      </c>
      <c r="G6">
        <v>739.08</v>
      </c>
      <c r="H6">
        <v>739.08</v>
      </c>
      <c r="I6">
        <v>739.08</v>
      </c>
      <c r="J6">
        <v>739.08</v>
      </c>
      <c r="K6">
        <v>739.08</v>
      </c>
      <c r="L6">
        <v>739.08</v>
      </c>
      <c r="M6">
        <v>739.08</v>
      </c>
      <c r="N6">
        <v>739.08</v>
      </c>
      <c r="O6">
        <v>739.08</v>
      </c>
      <c r="P6">
        <v>739.08</v>
      </c>
      <c r="Q6">
        <v>739.08</v>
      </c>
      <c r="R6">
        <v>739.08</v>
      </c>
      <c r="S6">
        <v>739.08</v>
      </c>
      <c r="U6">
        <v>739.08</v>
      </c>
      <c r="W6">
        <v>739.08</v>
      </c>
      <c r="Y6">
        <v>739.08</v>
      </c>
      <c r="AA6">
        <v>739.08</v>
      </c>
      <c r="AC6">
        <v>739.08</v>
      </c>
    </row>
    <row r="7" spans="1:31" x14ac:dyDescent="0.3">
      <c r="B7" t="s">
        <v>65</v>
      </c>
      <c r="C7" s="2" t="s">
        <v>58</v>
      </c>
      <c r="D7" s="2" t="s">
        <v>44</v>
      </c>
      <c r="E7" s="1">
        <f>G7+I7+K7+M7+O7+Q7+S7+U7+W7+Y7+AA7+AC7</f>
        <v>11088</v>
      </c>
      <c r="F7" s="1">
        <f>H7+J7+L7+N7+P7+R7+T7+V7+X7+Z7+AB7+AD7</f>
        <v>5544</v>
      </c>
      <c r="G7">
        <v>924</v>
      </c>
      <c r="H7">
        <v>924</v>
      </c>
      <c r="I7">
        <v>924</v>
      </c>
      <c r="J7">
        <v>924</v>
      </c>
      <c r="K7">
        <v>924</v>
      </c>
      <c r="L7">
        <v>924</v>
      </c>
      <c r="M7">
        <v>924</v>
      </c>
      <c r="N7">
        <v>924</v>
      </c>
      <c r="O7">
        <v>924</v>
      </c>
      <c r="P7">
        <v>924</v>
      </c>
      <c r="Q7">
        <v>924</v>
      </c>
      <c r="R7">
        <v>924</v>
      </c>
      <c r="S7">
        <v>924</v>
      </c>
      <c r="U7">
        <v>924</v>
      </c>
      <c r="W7">
        <v>924</v>
      </c>
      <c r="Y7">
        <v>924</v>
      </c>
      <c r="AA7">
        <v>924</v>
      </c>
      <c r="AC7">
        <v>924</v>
      </c>
    </row>
  </sheetData>
  <phoneticPr fontId="1" type="noConversion"/>
  <dataValidations count="2">
    <dataValidation type="list" allowBlank="1" showInputMessage="1" showErrorMessage="1" sqref="C2:C7" xr:uid="{E1B22BCA-5B5C-422F-86CC-C712C02FCA37}">
      <formula1>"전력,연료,용수"</formula1>
    </dataValidation>
    <dataValidation type="list" allowBlank="1" showInputMessage="1" showErrorMessage="1" sqref="D2:D7" xr:uid="{73113B47-9DF3-4CEA-9985-B12B556F1B90}">
      <formula1>"설비교체,운전개선,공정개선,누설저감,계약변경,기타"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C86A-5B0B-4B07-BD2B-9AE9D50AB373}">
  <dimension ref="A1:AD23"/>
  <sheetViews>
    <sheetView zoomScale="85" zoomScaleNormal="85" workbookViewId="0">
      <selection activeCell="C33" sqref="C33"/>
    </sheetView>
  </sheetViews>
  <sheetFormatPr defaultRowHeight="16.5" x14ac:dyDescent="0.3"/>
  <cols>
    <col min="2" max="2" width="30.625" customWidth="1"/>
  </cols>
  <sheetData>
    <row r="1" spans="1:30" x14ac:dyDescent="0.3">
      <c r="A1" s="3" t="s">
        <v>27</v>
      </c>
      <c r="B1" s="3" t="s">
        <v>0</v>
      </c>
      <c r="C1" s="3" t="s">
        <v>2</v>
      </c>
      <c r="D1" s="3" t="s">
        <v>1</v>
      </c>
      <c r="E1" s="3" t="s">
        <v>91</v>
      </c>
      <c r="F1" s="3" t="s">
        <v>92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</row>
    <row r="2" spans="1:30" x14ac:dyDescent="0.3">
      <c r="B2" t="s">
        <v>66</v>
      </c>
      <c r="C2" t="s">
        <v>77</v>
      </c>
      <c r="D2" t="s">
        <v>78</v>
      </c>
      <c r="E2" s="1">
        <f>G2+I2+K2+M2+O2+Q2+S2+U2+W2+Y2+AA2+AC2</f>
        <v>40405</v>
      </c>
      <c r="F2" s="1">
        <f>H2+J2+L2+N2+P2+R2+T2+V2+X2+Z2+AB2+AD2</f>
        <v>25318.318616075674</v>
      </c>
      <c r="G2">
        <v>8081</v>
      </c>
      <c r="H2">
        <v>2245.9224351352677</v>
      </c>
      <c r="I2">
        <v>8081</v>
      </c>
      <c r="J2">
        <v>9287.9047428589329</v>
      </c>
      <c r="K2">
        <v>8081</v>
      </c>
      <c r="L2">
        <v>6892.2457190407358</v>
      </c>
      <c r="N2">
        <v>6892.2457190407358</v>
      </c>
      <c r="AA2">
        <v>8081</v>
      </c>
      <c r="AC2">
        <v>8081</v>
      </c>
    </row>
    <row r="3" spans="1:30" x14ac:dyDescent="0.3">
      <c r="B3" t="s">
        <v>67</v>
      </c>
      <c r="C3" t="s">
        <v>77</v>
      </c>
      <c r="D3" t="s">
        <v>78</v>
      </c>
      <c r="E3" s="1">
        <f>G3+I3+K3+M3+O3+Q3+S3+U3+W3+Y3+AA3+AC3</f>
        <v>26631.418604651171</v>
      </c>
      <c r="F3" s="1">
        <f>H3+J3+L3+N3+P3+R3+T3+V3+X3+Z3+AB3+AD3</f>
        <v>8877.1395348837214</v>
      </c>
      <c r="G3">
        <v>0</v>
      </c>
      <c r="I3">
        <v>0</v>
      </c>
      <c r="K3">
        <v>0</v>
      </c>
      <c r="M3">
        <v>2959.0465116279074</v>
      </c>
      <c r="N3">
        <v>2959.0465116279074</v>
      </c>
      <c r="O3">
        <v>2959.0465116279074</v>
      </c>
      <c r="P3">
        <v>2959.0465116279074</v>
      </c>
      <c r="Q3">
        <v>2959.0465116279074</v>
      </c>
      <c r="R3">
        <v>2959.0465116279074</v>
      </c>
      <c r="S3">
        <v>2959.0465116279074</v>
      </c>
      <c r="U3">
        <v>2959.0465116279074</v>
      </c>
      <c r="W3">
        <v>2959.0465116279074</v>
      </c>
      <c r="Y3">
        <v>2959.0465116279074</v>
      </c>
      <c r="AA3">
        <v>2959.0465116279074</v>
      </c>
      <c r="AC3">
        <v>2959.0465116279074</v>
      </c>
    </row>
    <row r="4" spans="1:30" x14ac:dyDescent="0.3">
      <c r="B4" t="s">
        <v>68</v>
      </c>
      <c r="C4" t="s">
        <v>77</v>
      </c>
      <c r="D4" t="s">
        <v>78</v>
      </c>
      <c r="E4" s="1">
        <f>G4+I4+K4+M4+O4+Q4+S4+U4+W4+Y4+AA4+AC4</f>
        <v>20150</v>
      </c>
      <c r="F4" s="1">
        <f>H4+J4+L4+N4+P4+R4+T4+V4+X4+Z4+AB4+AD4</f>
        <v>10074.999999999998</v>
      </c>
      <c r="G4">
        <v>1679.1666666666665</v>
      </c>
      <c r="H4">
        <v>1679.1666666666665</v>
      </c>
      <c r="I4">
        <v>1679.1666666666665</v>
      </c>
      <c r="J4">
        <v>1679.1666666666665</v>
      </c>
      <c r="K4">
        <v>1679.1666666666665</v>
      </c>
      <c r="L4">
        <v>1679.1666666666665</v>
      </c>
      <c r="M4">
        <v>1679.1666666666665</v>
      </c>
      <c r="N4">
        <v>1679.1666666666665</v>
      </c>
      <c r="O4">
        <v>1679.1666666666665</v>
      </c>
      <c r="P4">
        <v>1679.1666666666665</v>
      </c>
      <c r="Q4">
        <v>1679.1666666666665</v>
      </c>
      <c r="R4">
        <v>1679.1666666666665</v>
      </c>
      <c r="S4">
        <v>1679.1666666666665</v>
      </c>
      <c r="U4">
        <v>1679.1666666666665</v>
      </c>
      <c r="W4">
        <v>1679.1666666666665</v>
      </c>
      <c r="Y4">
        <v>1679.1666666666665</v>
      </c>
      <c r="AA4">
        <v>1679.1666666666665</v>
      </c>
      <c r="AC4">
        <v>1679.1666666666665</v>
      </c>
    </row>
    <row r="5" spans="1:30" x14ac:dyDescent="0.3">
      <c r="B5" t="s">
        <v>69</v>
      </c>
      <c r="C5" t="s">
        <v>77</v>
      </c>
      <c r="D5" t="s">
        <v>78</v>
      </c>
      <c r="E5" s="1">
        <f>G5+I5+K5+M5+O5+Q5+S5+U5+W5+Y5+AA5+AC5</f>
        <v>19862.790697674416</v>
      </c>
      <c r="F5" s="1">
        <f>H5+J5+L5+N5+P5+R5+T5+V5+X5+Z5+AB5+AD5</f>
        <v>7945.1162790697663</v>
      </c>
      <c r="G5">
        <v>0</v>
      </c>
      <c r="I5">
        <v>0</v>
      </c>
      <c r="K5">
        <v>1986.2790697674416</v>
      </c>
      <c r="L5">
        <v>1986.2790697674416</v>
      </c>
      <c r="M5">
        <v>1986.2790697674416</v>
      </c>
      <c r="N5">
        <v>1986.2790697674416</v>
      </c>
      <c r="O5">
        <v>1986.2790697674416</v>
      </c>
      <c r="P5">
        <v>1986.2790697674416</v>
      </c>
      <c r="Q5">
        <v>1986.2790697674416</v>
      </c>
      <c r="R5">
        <v>1986.2790697674416</v>
      </c>
      <c r="S5">
        <v>1986.2790697674416</v>
      </c>
      <c r="U5">
        <v>1986.2790697674416</v>
      </c>
      <c r="W5">
        <v>1986.2790697674416</v>
      </c>
      <c r="Y5">
        <v>1986.2790697674416</v>
      </c>
      <c r="AA5">
        <v>1986.2790697674416</v>
      </c>
      <c r="AC5">
        <v>1986.2790697674416</v>
      </c>
    </row>
    <row r="6" spans="1:30" x14ac:dyDescent="0.3">
      <c r="B6" t="s">
        <v>70</v>
      </c>
      <c r="C6" t="s">
        <v>77</v>
      </c>
      <c r="D6" t="s">
        <v>78</v>
      </c>
      <c r="E6" s="1">
        <f>G6+I6+K6+M6+O6+Q6+S6+U6+W6+Y6+AA6+AC6</f>
        <v>12055.813953488368</v>
      </c>
      <c r="F6" s="1">
        <f>H6+J6+L6+N6+P6+R6+T6+V6+X6+Z6+AB6+AD6</f>
        <v>3013.9534883720926</v>
      </c>
      <c r="G6">
        <v>0</v>
      </c>
      <c r="I6">
        <v>0</v>
      </c>
      <c r="K6">
        <v>0</v>
      </c>
      <c r="O6">
        <v>1506.9767441860463</v>
      </c>
      <c r="P6">
        <v>1506.9767441860463</v>
      </c>
      <c r="Q6">
        <v>1506.9767441860463</v>
      </c>
      <c r="R6">
        <v>1506.9767441860463</v>
      </c>
      <c r="S6">
        <v>1506.9767441860463</v>
      </c>
      <c r="U6">
        <v>1506.9767441860463</v>
      </c>
      <c r="W6">
        <v>1506.9767441860463</v>
      </c>
      <c r="Y6">
        <v>1506.9767441860463</v>
      </c>
      <c r="AA6">
        <v>1506.9767441860463</v>
      </c>
      <c r="AC6">
        <v>1506.9767441860463</v>
      </c>
    </row>
    <row r="7" spans="1:30" x14ac:dyDescent="0.3">
      <c r="B7" t="s">
        <v>71</v>
      </c>
      <c r="C7" t="s">
        <v>77</v>
      </c>
      <c r="D7" t="s">
        <v>78</v>
      </c>
      <c r="E7" s="1">
        <f>G7+I7+K7+M7+O7+Q7+S7+U7+W7+Y7+AA7+AC7</f>
        <v>9499.9999999999964</v>
      </c>
      <c r="F7" s="1">
        <f>H7+J7+L7+N7+P7+R7+T7+V7+X7+Z7+AB7+AD7</f>
        <v>4749.9999999999991</v>
      </c>
      <c r="G7">
        <v>791.66666666666652</v>
      </c>
      <c r="H7">
        <v>791.66666666666652</v>
      </c>
      <c r="I7">
        <v>791.66666666666652</v>
      </c>
      <c r="J7">
        <v>791.66666666666652</v>
      </c>
      <c r="K7">
        <v>791.66666666666652</v>
      </c>
      <c r="L7">
        <v>791.66666666666652</v>
      </c>
      <c r="M7">
        <v>791.66666666666652</v>
      </c>
      <c r="N7">
        <v>791.66666666666652</v>
      </c>
      <c r="O7">
        <v>791.66666666666652</v>
      </c>
      <c r="P7">
        <v>791.66666666666652</v>
      </c>
      <c r="Q7">
        <v>791.66666666666652</v>
      </c>
      <c r="R7">
        <v>791.66666666666652</v>
      </c>
      <c r="S7">
        <v>791.66666666666652</v>
      </c>
      <c r="U7">
        <v>791.66666666666652</v>
      </c>
      <c r="W7">
        <v>791.66666666666652</v>
      </c>
      <c r="Y7">
        <v>791.66666666666652</v>
      </c>
      <c r="AA7">
        <v>791.66666666666652</v>
      </c>
      <c r="AC7">
        <v>791.66666666666652</v>
      </c>
    </row>
    <row r="8" spans="1:30" x14ac:dyDescent="0.3">
      <c r="B8" t="s">
        <v>72</v>
      </c>
      <c r="C8" t="s">
        <v>77</v>
      </c>
      <c r="D8" t="s">
        <v>78</v>
      </c>
      <c r="E8" s="1">
        <f>G8+I8+K8+M8+O8+Q8+S8+U8+W8+Y8+AA8+AC8</f>
        <v>5862.9845990440799</v>
      </c>
      <c r="F8" s="1">
        <f>H8+J8+L8+N8+P8+R8+T8+V8+X8+Z8+AB8+AD8</f>
        <v>977.16409984067968</v>
      </c>
      <c r="G8">
        <v>488.58204992033984</v>
      </c>
      <c r="I8">
        <v>488.58204992033984</v>
      </c>
      <c r="K8">
        <v>488.58204992033984</v>
      </c>
      <c r="M8">
        <v>488.58204992033984</v>
      </c>
      <c r="O8">
        <v>488.58204992033984</v>
      </c>
      <c r="P8">
        <v>488.58204992033984</v>
      </c>
      <c r="Q8">
        <v>488.58204992033984</v>
      </c>
      <c r="R8">
        <v>488.58204992033984</v>
      </c>
      <c r="S8">
        <v>488.58204992033984</v>
      </c>
      <c r="U8">
        <v>488.58204992033984</v>
      </c>
      <c r="W8">
        <v>488.58204992033984</v>
      </c>
      <c r="Y8">
        <v>488.58204992033984</v>
      </c>
      <c r="AA8">
        <v>488.58204992033984</v>
      </c>
      <c r="AC8">
        <v>488.58204992033984</v>
      </c>
    </row>
    <row r="9" spans="1:30" x14ac:dyDescent="0.3">
      <c r="B9" t="s">
        <v>73</v>
      </c>
      <c r="C9" t="s">
        <v>77</v>
      </c>
      <c r="D9" t="s">
        <v>78</v>
      </c>
      <c r="E9" s="1">
        <f>G9+I9+K9+M9+O9+Q9+S9+U9+W9+Y9+AA9+AC9</f>
        <v>5209.0542635658912</v>
      </c>
      <c r="F9" s="1">
        <f>H9+J9+L9+N9+P9+R9+T9+V9+X9+Z9+AB9+AD9</f>
        <v>0</v>
      </c>
      <c r="G9">
        <v>0</v>
      </c>
      <c r="I9">
        <v>0</v>
      </c>
      <c r="K9">
        <v>0</v>
      </c>
      <c r="M9">
        <v>0</v>
      </c>
      <c r="W9">
        <v>1302.2635658914728</v>
      </c>
      <c r="Y9">
        <v>1302.2635658914728</v>
      </c>
      <c r="AA9">
        <v>1302.2635658914728</v>
      </c>
      <c r="AC9">
        <v>1302.2635658914728</v>
      </c>
    </row>
    <row r="10" spans="1:30" x14ac:dyDescent="0.3">
      <c r="B10" t="s">
        <v>74</v>
      </c>
      <c r="C10" t="s">
        <v>77</v>
      </c>
      <c r="D10" t="s">
        <v>78</v>
      </c>
      <c r="E10" s="1">
        <f>G10+I10+K10+M10+O10+Q10+S10+U10+W10+Y10+AA10+AC10</f>
        <v>646.50000000000023</v>
      </c>
      <c r="F10" s="1">
        <f>H10+J10+L10+N10+P10+R10+T10+V10+X10+Z10+AB10+AD10</f>
        <v>215.50000000000003</v>
      </c>
      <c r="G10">
        <v>0</v>
      </c>
      <c r="I10">
        <v>0</v>
      </c>
      <c r="K10">
        <v>0</v>
      </c>
      <c r="M10">
        <v>71.833333333333343</v>
      </c>
      <c r="N10">
        <v>71.833333333333343</v>
      </c>
      <c r="O10">
        <v>71.833333333333343</v>
      </c>
      <c r="P10">
        <v>71.833333333333343</v>
      </c>
      <c r="Q10">
        <v>71.833333333333343</v>
      </c>
      <c r="R10">
        <v>71.833333333333343</v>
      </c>
      <c r="S10">
        <v>71.833333333333343</v>
      </c>
      <c r="U10">
        <v>71.833333333333343</v>
      </c>
      <c r="W10">
        <v>71.833333333333343</v>
      </c>
      <c r="Y10">
        <v>71.833333333333343</v>
      </c>
      <c r="AA10">
        <v>71.833333333333343</v>
      </c>
      <c r="AC10">
        <v>71.833333333333343</v>
      </c>
    </row>
    <row r="11" spans="1:30" x14ac:dyDescent="0.3">
      <c r="B11" t="s">
        <v>75</v>
      </c>
      <c r="C11" t="s">
        <v>77</v>
      </c>
      <c r="D11" t="s">
        <v>78</v>
      </c>
      <c r="E11" s="1">
        <f>G11+I11+K11+M11+O11+Q11+S11+U11+W11+Y11+AA11+AC11</f>
        <v>459</v>
      </c>
      <c r="F11" s="1">
        <f>H11+J11+L11+N11+P11+R11+T11+V11+X11+Z11+AB11+AD11</f>
        <v>229.5</v>
      </c>
      <c r="G11">
        <v>38.25</v>
      </c>
      <c r="H11">
        <v>38.25</v>
      </c>
      <c r="I11">
        <v>38.25</v>
      </c>
      <c r="J11">
        <v>38.25</v>
      </c>
      <c r="K11">
        <v>38.25</v>
      </c>
      <c r="L11">
        <v>38.25</v>
      </c>
      <c r="M11">
        <v>38.25</v>
      </c>
      <c r="N11">
        <v>38.25</v>
      </c>
      <c r="O11">
        <v>38.25</v>
      </c>
      <c r="P11">
        <v>38.25</v>
      </c>
      <c r="Q11">
        <v>38.25</v>
      </c>
      <c r="R11">
        <v>38.25</v>
      </c>
      <c r="S11">
        <v>38.25</v>
      </c>
      <c r="U11">
        <v>38.25</v>
      </c>
      <c r="W11">
        <v>38.25</v>
      </c>
      <c r="Y11">
        <v>38.25</v>
      </c>
      <c r="AA11">
        <v>38.25</v>
      </c>
      <c r="AC11">
        <v>38.25</v>
      </c>
    </row>
    <row r="12" spans="1:30" x14ac:dyDescent="0.3">
      <c r="B12" t="s">
        <v>76</v>
      </c>
      <c r="C12" t="s">
        <v>77</v>
      </c>
      <c r="D12" t="s">
        <v>78</v>
      </c>
      <c r="E12" s="1">
        <f>G12+I12+K12+M12+O12+Q12+S12+U12+W12+Y12+AA12+AC12</f>
        <v>0</v>
      </c>
      <c r="F12" s="1">
        <f>H12+J12+L12+N12+P12+R12+T12+V12+X12+Z12+AB12+AD12</f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  <c r="U12">
        <v>0</v>
      </c>
      <c r="W12">
        <v>0</v>
      </c>
      <c r="Y12">
        <v>0</v>
      </c>
      <c r="AA12">
        <v>0</v>
      </c>
      <c r="AC12">
        <v>0</v>
      </c>
    </row>
    <row r="13" spans="1:30" x14ac:dyDescent="0.3">
      <c r="B13" t="s">
        <v>79</v>
      </c>
      <c r="C13" t="s">
        <v>90</v>
      </c>
      <c r="D13" t="s">
        <v>78</v>
      </c>
      <c r="E13" s="1">
        <f>G13+I13+K13+M13+O13+Q13+S13+U13+W13+Y13+AA13+AC13</f>
        <v>10000</v>
      </c>
      <c r="F13" s="1">
        <f>H13+J13+L13+N13+P13+R13+T13+V13+X13+Z13+AB13+AD13</f>
        <v>22241</v>
      </c>
      <c r="G13">
        <v>0</v>
      </c>
      <c r="I13">
        <v>0</v>
      </c>
      <c r="K13">
        <v>0</v>
      </c>
      <c r="M13">
        <v>1250</v>
      </c>
      <c r="N13">
        <v>5182</v>
      </c>
      <c r="O13">
        <v>1250</v>
      </c>
      <c r="P13">
        <v>10526</v>
      </c>
      <c r="Q13">
        <v>1250</v>
      </c>
      <c r="R13">
        <v>6533</v>
      </c>
      <c r="S13">
        <v>1250</v>
      </c>
      <c r="U13">
        <v>1250</v>
      </c>
      <c r="W13">
        <v>1250</v>
      </c>
      <c r="Y13">
        <v>1250</v>
      </c>
      <c r="AA13">
        <v>1250</v>
      </c>
    </row>
    <row r="14" spans="1:30" x14ac:dyDescent="0.3">
      <c r="B14" t="s">
        <v>80</v>
      </c>
      <c r="C14" t="s">
        <v>90</v>
      </c>
      <c r="D14" t="s">
        <v>78</v>
      </c>
      <c r="E14" s="1">
        <f>G14+I14+K14+M14+O14+Q14+S14+U14+W14+Y14+AA14+AC14</f>
        <v>9316.6666666666679</v>
      </c>
      <c r="F14" s="1">
        <f>H14+J14+L14+N14+P14+R14+T14+V14+X14+Z14+AB14+AD14</f>
        <v>3726.666666666667</v>
      </c>
      <c r="G14">
        <v>0</v>
      </c>
      <c r="H14">
        <v>0</v>
      </c>
      <c r="I14">
        <v>0</v>
      </c>
      <c r="K14">
        <v>931.66666666666674</v>
      </c>
      <c r="L14">
        <v>931.66666666666674</v>
      </c>
      <c r="M14">
        <v>931.66666666666674</v>
      </c>
      <c r="N14">
        <v>931.66666666666674</v>
      </c>
      <c r="O14">
        <v>931.66666666666674</v>
      </c>
      <c r="P14">
        <v>931.66666666666674</v>
      </c>
      <c r="Q14">
        <v>931.66666666666674</v>
      </c>
      <c r="R14">
        <v>931.66666666666674</v>
      </c>
      <c r="S14">
        <v>931.66666666666674</v>
      </c>
      <c r="U14">
        <v>931.66666666666674</v>
      </c>
      <c r="W14">
        <v>931.66666666666674</v>
      </c>
      <c r="Y14">
        <v>931.66666666666674</v>
      </c>
      <c r="AA14">
        <v>931.66666666666674</v>
      </c>
      <c r="AC14">
        <v>931.66666666666674</v>
      </c>
    </row>
    <row r="15" spans="1:30" x14ac:dyDescent="0.3">
      <c r="B15" t="s">
        <v>81</v>
      </c>
      <c r="C15" t="s">
        <v>90</v>
      </c>
      <c r="D15" t="s">
        <v>78</v>
      </c>
      <c r="E15" s="1">
        <f>G15+I15+K15+M15+O15+Q15+S15+U15+W15+Y15+AA15+AC15</f>
        <v>6650.0000000000027</v>
      </c>
      <c r="F15" s="1">
        <f>H15+J15+L15+N15+P15+R15+T15+V15+X15+Z15+AB15+AD15</f>
        <v>2770.166666666667</v>
      </c>
      <c r="G15">
        <v>554.16666666666674</v>
      </c>
      <c r="H15">
        <v>0</v>
      </c>
      <c r="I15">
        <v>554.16666666666674</v>
      </c>
      <c r="J15">
        <v>554.16666666666674</v>
      </c>
      <c r="K15">
        <v>554.16666666666674</v>
      </c>
      <c r="L15">
        <v>554</v>
      </c>
      <c r="M15">
        <v>554.16666666666674</v>
      </c>
      <c r="N15">
        <v>554</v>
      </c>
      <c r="O15">
        <v>554.16666666666674</v>
      </c>
      <c r="P15">
        <v>554</v>
      </c>
      <c r="Q15">
        <v>554.16666666666674</v>
      </c>
      <c r="R15">
        <v>554</v>
      </c>
      <c r="S15">
        <v>554.16666666666674</v>
      </c>
      <c r="U15">
        <v>554.16666666666674</v>
      </c>
      <c r="W15">
        <v>554.16666666666674</v>
      </c>
      <c r="Y15">
        <v>554.16666666666674</v>
      </c>
      <c r="AA15">
        <v>554.16666666666674</v>
      </c>
      <c r="AC15">
        <v>554.16666666666674</v>
      </c>
    </row>
    <row r="16" spans="1:30" x14ac:dyDescent="0.3">
      <c r="B16" t="s">
        <v>82</v>
      </c>
      <c r="C16" t="s">
        <v>90</v>
      </c>
      <c r="D16" t="s">
        <v>78</v>
      </c>
      <c r="E16" s="1">
        <f>G16+I16+K16+M16+O16+Q16+S16+U16+W16+Y16+AA16+AC16</f>
        <v>2598.3333333333335</v>
      </c>
      <c r="F16" s="1">
        <f>H16+J16+L16+N16+P16+R16+T16+V16+X16+Z16+AB16+AD16</f>
        <v>0</v>
      </c>
      <c r="G16">
        <v>0</v>
      </c>
      <c r="H16">
        <v>0</v>
      </c>
      <c r="I16">
        <v>0</v>
      </c>
      <c r="K16">
        <v>0</v>
      </c>
      <c r="M16">
        <v>0</v>
      </c>
      <c r="O16">
        <v>0</v>
      </c>
      <c r="Q16">
        <v>0</v>
      </c>
      <c r="S16">
        <v>0</v>
      </c>
      <c r="U16">
        <v>0</v>
      </c>
      <c r="W16">
        <v>0</v>
      </c>
      <c r="Y16">
        <v>0</v>
      </c>
      <c r="AA16">
        <v>1299.1666666666667</v>
      </c>
      <c r="AC16">
        <v>1299.1666666666667</v>
      </c>
    </row>
    <row r="17" spans="2:29" x14ac:dyDescent="0.3">
      <c r="B17" t="s">
        <v>83</v>
      </c>
      <c r="C17" t="s">
        <v>90</v>
      </c>
      <c r="D17" t="s">
        <v>78</v>
      </c>
      <c r="E17" s="1">
        <f>G17+I17+K17+M17+O17+Q17+S17+U17+W17+Y17+AA17+AC17</f>
        <v>2973</v>
      </c>
      <c r="F17" s="1">
        <f>H17+J17+L17+N17+P17+R17+T17+V17+X17+Z17+AB17+AD17</f>
        <v>0</v>
      </c>
      <c r="G17">
        <v>0</v>
      </c>
      <c r="H17">
        <v>0</v>
      </c>
      <c r="I17">
        <v>0</v>
      </c>
      <c r="K17">
        <v>0</v>
      </c>
      <c r="M17">
        <v>330.33333333333331</v>
      </c>
      <c r="O17">
        <v>330.33333333333331</v>
      </c>
      <c r="Q17">
        <v>330.33333333333331</v>
      </c>
      <c r="S17">
        <v>330.33333333333331</v>
      </c>
      <c r="U17">
        <v>330.33333333333331</v>
      </c>
      <c r="W17">
        <v>330.33333333333331</v>
      </c>
      <c r="Y17">
        <v>330.33333333333331</v>
      </c>
      <c r="AA17">
        <v>330.33333333333331</v>
      </c>
      <c r="AC17">
        <v>330.33333333333331</v>
      </c>
    </row>
    <row r="18" spans="2:29" x14ac:dyDescent="0.3">
      <c r="B18" t="s">
        <v>84</v>
      </c>
      <c r="C18" t="s">
        <v>90</v>
      </c>
      <c r="D18" t="s">
        <v>78</v>
      </c>
      <c r="E18" s="1">
        <f>G18+I18+K18+M18+O18+Q18+S18+U18+W18+Y18+AA18+AC18</f>
        <v>2012.5786163522012</v>
      </c>
      <c r="F18" s="1">
        <f>H18+J18+L18+N18+P18+R18+T18+V18+X18+Z18+AB18+AD18</f>
        <v>503.14465408805034</v>
      </c>
      <c r="G18">
        <v>0</v>
      </c>
      <c r="H18">
        <v>0</v>
      </c>
      <c r="I18">
        <v>0</v>
      </c>
      <c r="K18">
        <v>0</v>
      </c>
      <c r="M18">
        <v>0</v>
      </c>
      <c r="O18">
        <v>251.57232704402517</v>
      </c>
      <c r="P18">
        <v>251.57232704402517</v>
      </c>
      <c r="Q18">
        <v>251.57232704402517</v>
      </c>
      <c r="R18">
        <v>251.57232704402517</v>
      </c>
      <c r="S18">
        <v>251.57232704402517</v>
      </c>
      <c r="U18">
        <v>251.57232704402517</v>
      </c>
      <c r="W18">
        <v>251.57232704402517</v>
      </c>
      <c r="Y18">
        <v>251.57232704402517</v>
      </c>
      <c r="AA18">
        <v>251.57232704402517</v>
      </c>
      <c r="AC18">
        <v>251.57232704402517</v>
      </c>
    </row>
    <row r="19" spans="2:29" x14ac:dyDescent="0.3">
      <c r="B19" t="s">
        <v>85</v>
      </c>
      <c r="C19" t="s">
        <v>90</v>
      </c>
      <c r="D19" t="s">
        <v>78</v>
      </c>
      <c r="E19" s="1">
        <f>G19+I19+K19+M19+O19+Q19+S19+U19+W19+Y19+AA19+AC19</f>
        <v>1681.5164220824593</v>
      </c>
      <c r="F19" s="1">
        <f>H19+J19+L19+N19+P19+R19+T19+V19+X19+Z19+AB19+AD19</f>
        <v>840.75821104122974</v>
      </c>
      <c r="G19">
        <v>0</v>
      </c>
      <c r="H19">
        <v>0</v>
      </c>
      <c r="I19">
        <v>0</v>
      </c>
      <c r="J19">
        <v>168.15164220824596</v>
      </c>
      <c r="K19">
        <v>168.15164220824596</v>
      </c>
      <c r="L19">
        <v>168.15164220824596</v>
      </c>
      <c r="M19">
        <v>168.15164220824596</v>
      </c>
      <c r="N19">
        <v>168.15164220824596</v>
      </c>
      <c r="O19">
        <v>168.15164220824596</v>
      </c>
      <c r="P19">
        <v>168.15164220824596</v>
      </c>
      <c r="Q19">
        <v>168.15164220824596</v>
      </c>
      <c r="R19">
        <v>168.15164220824596</v>
      </c>
      <c r="S19">
        <v>168.15164220824596</v>
      </c>
      <c r="U19">
        <v>168.15164220824596</v>
      </c>
      <c r="W19">
        <v>168.15164220824596</v>
      </c>
      <c r="Y19">
        <v>168.15164220824596</v>
      </c>
      <c r="AA19">
        <v>168.15164220824596</v>
      </c>
      <c r="AC19">
        <v>168.15164220824596</v>
      </c>
    </row>
    <row r="20" spans="2:29" x14ac:dyDescent="0.3">
      <c r="B20" t="s">
        <v>86</v>
      </c>
      <c r="C20" t="s">
        <v>90</v>
      </c>
      <c r="D20" t="s">
        <v>78</v>
      </c>
      <c r="E20" s="1">
        <f>G20+I20+K20+M20+O20+Q20+S20+U20+W20+Y20+AA20+AC20</f>
        <v>387</v>
      </c>
      <c r="F20" s="1">
        <f>H20+J20+L20+N20+P20+R20+T20+V20+X20+Z20+AB20+AD20</f>
        <v>0</v>
      </c>
      <c r="G20">
        <v>0</v>
      </c>
      <c r="H20">
        <v>0</v>
      </c>
      <c r="I20">
        <v>0</v>
      </c>
      <c r="K20">
        <v>0</v>
      </c>
      <c r="M20">
        <v>0</v>
      </c>
      <c r="O20">
        <v>0</v>
      </c>
      <c r="Q20">
        <v>0</v>
      </c>
      <c r="S20">
        <v>64.5</v>
      </c>
      <c r="U20">
        <v>64.5</v>
      </c>
      <c r="W20">
        <v>64.5</v>
      </c>
      <c r="Y20">
        <v>64.5</v>
      </c>
      <c r="AA20">
        <v>64.5</v>
      </c>
      <c r="AC20">
        <v>64.5</v>
      </c>
    </row>
    <row r="21" spans="2:29" x14ac:dyDescent="0.3">
      <c r="B21" t="s">
        <v>87</v>
      </c>
      <c r="C21" t="s">
        <v>90</v>
      </c>
      <c r="D21" t="s">
        <v>78</v>
      </c>
      <c r="E21" s="1">
        <f>G21+I21+K21+M21+O21+Q21+S21+U21+W21+Y21+AA21+AC21</f>
        <v>327.5</v>
      </c>
      <c r="F21" s="1">
        <f>H21+J21+L21+N21+P21+R21+T21+V21+X21+Z21+AB21+AD21</f>
        <v>0</v>
      </c>
      <c r="G21">
        <v>0</v>
      </c>
      <c r="H21">
        <v>0</v>
      </c>
      <c r="I21">
        <v>0</v>
      </c>
      <c r="K21">
        <v>0</v>
      </c>
      <c r="M21">
        <v>0</v>
      </c>
      <c r="O21">
        <v>0</v>
      </c>
      <c r="Q21">
        <v>0</v>
      </c>
      <c r="S21">
        <v>0</v>
      </c>
      <c r="U21">
        <v>65.5</v>
      </c>
      <c r="W21">
        <v>65.5</v>
      </c>
      <c r="Y21">
        <v>65.5</v>
      </c>
      <c r="AA21">
        <v>65.5</v>
      </c>
      <c r="AC21">
        <v>65.5</v>
      </c>
    </row>
    <row r="22" spans="2:29" x14ac:dyDescent="0.3">
      <c r="B22" t="s">
        <v>88</v>
      </c>
      <c r="C22" t="s">
        <v>90</v>
      </c>
      <c r="D22" t="s">
        <v>78</v>
      </c>
      <c r="E22" s="1">
        <f>G22+I22+K22+M22+O22+Q22+S22+U22+W22+Y22+AA22+AC22</f>
        <v>679.24528301886778</v>
      </c>
      <c r="F22" s="1">
        <f>H22+J22+L22+N22+P22+R22+T22+V22+X22+Z22+AB22+AD22</f>
        <v>339.62264150943395</v>
      </c>
      <c r="G22">
        <v>56.60377358490566</v>
      </c>
      <c r="H22">
        <v>56.60377358490566</v>
      </c>
      <c r="I22">
        <v>56.60377358490566</v>
      </c>
      <c r="J22">
        <v>56.60377358490566</v>
      </c>
      <c r="K22">
        <v>56.60377358490566</v>
      </c>
      <c r="L22">
        <v>56.60377358490566</v>
      </c>
      <c r="M22">
        <v>56.60377358490566</v>
      </c>
      <c r="N22">
        <v>56.60377358490566</v>
      </c>
      <c r="O22">
        <v>56.60377358490566</v>
      </c>
      <c r="P22">
        <v>56.60377358490566</v>
      </c>
      <c r="Q22">
        <v>56.60377358490566</v>
      </c>
      <c r="R22">
        <v>56.60377358490566</v>
      </c>
      <c r="S22">
        <v>56.60377358490566</v>
      </c>
      <c r="U22">
        <v>56.60377358490566</v>
      </c>
      <c r="W22">
        <v>56.60377358490566</v>
      </c>
      <c r="Y22">
        <v>56.60377358490566</v>
      </c>
      <c r="AA22">
        <v>56.60377358490566</v>
      </c>
      <c r="AC22">
        <v>56.60377358490566</v>
      </c>
    </row>
    <row r="23" spans="2:29" x14ac:dyDescent="0.3">
      <c r="B23" t="s">
        <v>89</v>
      </c>
      <c r="C23" t="s">
        <v>90</v>
      </c>
      <c r="D23" t="s">
        <v>78</v>
      </c>
      <c r="E23" s="1">
        <f>G23+I23+K23+M23+O23+Q23+S23+U23+W23+Y23+AA23+AC23</f>
        <v>377.35849056603774</v>
      </c>
      <c r="F23" s="1">
        <f>H23+J23+L23+N23+P23+R23+T23+V23+X23+Z23+AB23+AD23</f>
        <v>150.94339622641508</v>
      </c>
      <c r="G23">
        <v>0</v>
      </c>
      <c r="H23">
        <v>0</v>
      </c>
      <c r="I23">
        <v>0</v>
      </c>
      <c r="K23">
        <v>37.735849056603769</v>
      </c>
      <c r="L23">
        <v>37.735849056603769</v>
      </c>
      <c r="M23">
        <v>37.735849056603769</v>
      </c>
      <c r="N23">
        <v>37.735849056603769</v>
      </c>
      <c r="O23">
        <v>37.735849056603769</v>
      </c>
      <c r="P23">
        <v>37.735849056603769</v>
      </c>
      <c r="Q23">
        <v>37.735849056603769</v>
      </c>
      <c r="R23">
        <v>37.735849056603769</v>
      </c>
      <c r="S23">
        <v>37.735849056603769</v>
      </c>
      <c r="U23">
        <v>37.735849056603769</v>
      </c>
      <c r="W23">
        <v>37.735849056603769</v>
      </c>
      <c r="Y23">
        <v>37.735849056603769</v>
      </c>
      <c r="AA23">
        <v>37.735849056603769</v>
      </c>
      <c r="AC23">
        <v>37.735849056603769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82FE-0D78-4D5B-B9D9-27CCEC486E1C}">
  <dimension ref="A1:AD9"/>
  <sheetViews>
    <sheetView zoomScale="85" zoomScaleNormal="85" workbookViewId="0">
      <selection activeCell="F15" sqref="F15"/>
    </sheetView>
  </sheetViews>
  <sheetFormatPr defaultRowHeight="16.5" x14ac:dyDescent="0.3"/>
  <cols>
    <col min="2" max="2" width="30.625" customWidth="1"/>
  </cols>
  <sheetData>
    <row r="1" spans="1:30" x14ac:dyDescent="0.3">
      <c r="A1" s="3" t="s">
        <v>27</v>
      </c>
      <c r="B1" s="3" t="s">
        <v>0</v>
      </c>
      <c r="C1" s="3" t="s">
        <v>2</v>
      </c>
      <c r="D1" s="3" t="s">
        <v>1</v>
      </c>
      <c r="E1" s="3" t="s">
        <v>91</v>
      </c>
      <c r="F1" s="3" t="s">
        <v>92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</row>
    <row r="2" spans="1:30" x14ac:dyDescent="0.3">
      <c r="B2" t="s">
        <v>93</v>
      </c>
      <c r="C2" t="s">
        <v>77</v>
      </c>
      <c r="D2" t="s">
        <v>78</v>
      </c>
      <c r="E2" s="1">
        <f>G2+I2+K2+M2+O2+Q2+S2+U2+W2+Y2+AA2+AC2</f>
        <v>41346</v>
      </c>
      <c r="F2" s="1">
        <f>H2+J2+L2+N2+P2+R2+T2+V2+X2+Z2+AB2+AD2</f>
        <v>41346</v>
      </c>
      <c r="I2">
        <v>6891</v>
      </c>
      <c r="J2">
        <v>6891</v>
      </c>
      <c r="K2">
        <v>6891</v>
      </c>
      <c r="L2">
        <v>6891</v>
      </c>
      <c r="M2">
        <v>6891</v>
      </c>
      <c r="N2">
        <v>6891</v>
      </c>
      <c r="O2">
        <v>6891</v>
      </c>
      <c r="P2">
        <v>6891</v>
      </c>
      <c r="Q2">
        <v>6891</v>
      </c>
      <c r="R2">
        <v>6891</v>
      </c>
      <c r="S2">
        <v>6891</v>
      </c>
      <c r="T2">
        <v>6891</v>
      </c>
    </row>
    <row r="3" spans="1:30" x14ac:dyDescent="0.3">
      <c r="B3" t="s">
        <v>94</v>
      </c>
      <c r="C3" t="s">
        <v>77</v>
      </c>
      <c r="D3" t="s">
        <v>78</v>
      </c>
      <c r="E3" s="1">
        <f>G3+I3+K3+M3+O3+Q3+S3+U3+W3+Y3+AA3+AC3</f>
        <v>21359.360043636363</v>
      </c>
      <c r="F3" s="1">
        <f>H3+J3+L3+N3+P3+R3+T3+V3+X3+Z3+AB3+AD3</f>
        <v>34205.601343999995</v>
      </c>
      <c r="M3">
        <v>2990.031781818182</v>
      </c>
      <c r="N3">
        <v>5596.3607039999988</v>
      </c>
      <c r="O3">
        <v>3090.5661745454545</v>
      </c>
      <c r="P3">
        <v>7229</v>
      </c>
      <c r="Q3">
        <v>0</v>
      </c>
      <c r="R3">
        <v>10871.308800000001</v>
      </c>
      <c r="T3">
        <v>10508.931839999999</v>
      </c>
      <c r="U3">
        <v>3093.5661745454545</v>
      </c>
      <c r="W3">
        <v>2995.031781818182</v>
      </c>
      <c r="Y3">
        <v>3095.5661745454545</v>
      </c>
      <c r="AA3">
        <v>2997.031781818182</v>
      </c>
      <c r="AC3">
        <v>3097.5661745454545</v>
      </c>
    </row>
    <row r="4" spans="1:30" x14ac:dyDescent="0.3">
      <c r="B4" t="s">
        <v>95</v>
      </c>
      <c r="C4" t="s">
        <v>77</v>
      </c>
      <c r="D4" t="s">
        <v>78</v>
      </c>
      <c r="E4" s="1">
        <f>G4+I4+K4+M4+O4+Q4+S4+U4+W4+Y4+AA4+AC4</f>
        <v>0</v>
      </c>
      <c r="F4" s="1">
        <f>H4+J4+L4+N4+P4+R4+T4+V4+X4+Z4+AB4+AD4</f>
        <v>0</v>
      </c>
      <c r="R4">
        <v>0</v>
      </c>
    </row>
    <row r="5" spans="1:30" x14ac:dyDescent="0.3">
      <c r="B5" t="s">
        <v>96</v>
      </c>
      <c r="C5" t="s">
        <v>77</v>
      </c>
      <c r="D5" t="s">
        <v>78</v>
      </c>
      <c r="E5" s="1">
        <f>G5+I5+K5+M5+O5+Q5+S5+U5+W5+Y5+AA5+AC5</f>
        <v>231816.60902855688</v>
      </c>
      <c r="F5" s="1">
        <f>H5+J5+L5+N5+P5+R5+T5+V5+X5+Z5+AB5+AD5</f>
        <v>137694.29999999999</v>
      </c>
      <c r="G5">
        <v>9840.8414767975537</v>
      </c>
      <c r="H5">
        <v>16371</v>
      </c>
      <c r="I5">
        <v>15923.70846608873</v>
      </c>
      <c r="J5">
        <v>13348</v>
      </c>
      <c r="K5">
        <v>15963.530181540031</v>
      </c>
      <c r="L5">
        <v>21812</v>
      </c>
      <c r="M5">
        <v>28089.792284038758</v>
      </c>
      <c r="N5">
        <v>18901.14</v>
      </c>
      <c r="O5">
        <v>25704.487521162671</v>
      </c>
      <c r="P5">
        <v>17022.16</v>
      </c>
      <c r="Q5">
        <v>24374.318281998982</v>
      </c>
      <c r="R5">
        <v>30230</v>
      </c>
      <c r="S5">
        <v>29384.737696583379</v>
      </c>
      <c r="T5">
        <v>20010</v>
      </c>
      <c r="U5">
        <v>26971.125931157574</v>
      </c>
      <c r="W5">
        <v>18055.419669046405</v>
      </c>
      <c r="Y5">
        <v>13399.377538500767</v>
      </c>
      <c r="AA5">
        <v>13727.676796532382</v>
      </c>
      <c r="AC5">
        <v>10381.593185109637</v>
      </c>
    </row>
    <row r="6" spans="1:30" x14ac:dyDescent="0.3">
      <c r="B6" t="s">
        <v>97</v>
      </c>
      <c r="C6" t="s">
        <v>77</v>
      </c>
      <c r="D6" t="s">
        <v>78</v>
      </c>
      <c r="E6" s="1">
        <f>G6+I6+K6+M6+O6+Q6+S6+U6+W6+Y6+AA6+AC6</f>
        <v>55605.623520000001</v>
      </c>
      <c r="F6" s="1">
        <f>H6+J6+L6+N6+P6+R6+T6+V6+X6+Z6+AB6+AD6</f>
        <v>43075.096239999999</v>
      </c>
      <c r="G6">
        <v>3133.5444000000002</v>
      </c>
      <c r="H6">
        <v>5523</v>
      </c>
      <c r="I6">
        <v>5721.8306399999992</v>
      </c>
      <c r="J6">
        <v>4535</v>
      </c>
      <c r="K6">
        <v>6452.5788000000002</v>
      </c>
      <c r="L6">
        <v>5396</v>
      </c>
      <c r="M6">
        <v>7578.3794399999997</v>
      </c>
      <c r="N6">
        <v>6965.3555999999999</v>
      </c>
      <c r="O6">
        <v>6260.8233600000003</v>
      </c>
      <c r="P6">
        <v>6051</v>
      </c>
      <c r="Q6">
        <v>0</v>
      </c>
      <c r="R6">
        <v>7444.0022399999998</v>
      </c>
      <c r="T6">
        <v>7160.7383999999993</v>
      </c>
      <c r="U6">
        <v>7440.8695200000002</v>
      </c>
      <c r="W6">
        <v>4704.3561599999994</v>
      </c>
      <c r="Y6">
        <v>4283.5824000000002</v>
      </c>
      <c r="AA6">
        <v>7029.6588000000002</v>
      </c>
      <c r="AC6">
        <v>3000</v>
      </c>
    </row>
    <row r="7" spans="1:30" x14ac:dyDescent="0.3">
      <c r="B7" t="s">
        <v>98</v>
      </c>
      <c r="C7" t="s">
        <v>77</v>
      </c>
      <c r="D7" t="s">
        <v>78</v>
      </c>
      <c r="E7" s="1">
        <f>G7+I7+K7+M7+O7+Q7+S7+U7+W7+Y7+AA7+AC7</f>
        <v>43286.399999999994</v>
      </c>
      <c r="F7" s="1">
        <f>H7+J7+L7+N7+P7+R7+T7+V7+X7+Z7+AB7+AD7</f>
        <v>23587.599999999999</v>
      </c>
      <c r="I7">
        <v>4017.6</v>
      </c>
      <c r="J7">
        <v>4018</v>
      </c>
      <c r="K7">
        <v>3628.8</v>
      </c>
      <c r="L7">
        <v>3628.8</v>
      </c>
      <c r="M7">
        <v>3888</v>
      </c>
      <c r="N7">
        <v>3888</v>
      </c>
      <c r="O7">
        <v>4017.6</v>
      </c>
      <c r="P7">
        <v>4017.6</v>
      </c>
      <c r="Q7">
        <v>3888</v>
      </c>
      <c r="R7">
        <v>4017.6</v>
      </c>
      <c r="S7">
        <v>4017.6</v>
      </c>
      <c r="T7">
        <v>4017.6</v>
      </c>
      <c r="U7">
        <v>4017.6</v>
      </c>
      <c r="W7">
        <v>3888</v>
      </c>
      <c r="Y7">
        <v>4017.6</v>
      </c>
      <c r="AA7">
        <v>3888</v>
      </c>
      <c r="AC7">
        <v>4017.6</v>
      </c>
    </row>
    <row r="8" spans="1:30" x14ac:dyDescent="0.3">
      <c r="B8" t="s">
        <v>99</v>
      </c>
      <c r="C8" t="s">
        <v>77</v>
      </c>
      <c r="D8" t="s">
        <v>78</v>
      </c>
      <c r="E8" s="1">
        <f>G8+I8+K8+M8+O8+Q8+S8+U8+W8+Y8+AA8+AC8</f>
        <v>0</v>
      </c>
      <c r="F8" s="1">
        <f>H8+J8+L8+N8+P8+R8+T8+V8+X8+Z8+AB8+AD8</f>
        <v>0</v>
      </c>
    </row>
    <row r="9" spans="1:30" x14ac:dyDescent="0.3">
      <c r="B9" t="s">
        <v>100</v>
      </c>
      <c r="C9" t="s">
        <v>90</v>
      </c>
      <c r="D9" t="s">
        <v>78</v>
      </c>
      <c r="E9" s="1">
        <f>G9+I9+K9+M9+O9+Q9+S9+U9+W9+Y9+AA9+AC9</f>
        <v>735.89688084789702</v>
      </c>
      <c r="F9" s="1">
        <f>H9+J9+L9+N9+P9+R9+T9+V9+X9+Z9+AB9+AD9</f>
        <v>0</v>
      </c>
      <c r="H9">
        <v>0</v>
      </c>
      <c r="S9">
        <v>128.41265008120629</v>
      </c>
      <c r="U9">
        <v>129.82501860267885</v>
      </c>
      <c r="W9">
        <v>117.50163364685305</v>
      </c>
      <c r="Y9">
        <v>120.44867356368349</v>
      </c>
      <c r="AA9">
        <v>120.89421274732138</v>
      </c>
      <c r="AC9">
        <v>118.81469220615398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8AEA-C685-40B3-BDE0-79F2C77C8E07}">
  <dimension ref="A1:AD1"/>
  <sheetViews>
    <sheetView tabSelected="1" zoomScale="85" zoomScaleNormal="85" workbookViewId="0">
      <selection activeCell="I21" sqref="I21"/>
    </sheetView>
  </sheetViews>
  <sheetFormatPr defaultRowHeight="16.5" x14ac:dyDescent="0.3"/>
  <cols>
    <col min="2" max="2" width="30.625" customWidth="1"/>
  </cols>
  <sheetData>
    <row r="1" spans="1:30" x14ac:dyDescent="0.3">
      <c r="A1" s="3" t="s">
        <v>27</v>
      </c>
      <c r="B1" s="3" t="s">
        <v>0</v>
      </c>
      <c r="C1" s="3" t="s">
        <v>2</v>
      </c>
      <c r="D1" s="3" t="s">
        <v>1</v>
      </c>
      <c r="E1" s="3" t="s">
        <v>91</v>
      </c>
      <c r="F1" s="3" t="s">
        <v>92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남양주</vt:lpstr>
      <vt:lpstr>김해</vt:lpstr>
      <vt:lpstr>광주</vt:lpstr>
      <vt:lpstr>논산</vt:lpstr>
      <vt:lpstr>경산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종우 김</dc:creator>
  <cp:lastModifiedBy>종우 김</cp:lastModifiedBy>
  <dcterms:created xsi:type="dcterms:W3CDTF">2026-08-04T01:24:48Z</dcterms:created>
  <dcterms:modified xsi:type="dcterms:W3CDTF">2026-08-06T01:36:21Z</dcterms:modified>
</cp:coreProperties>
</file>